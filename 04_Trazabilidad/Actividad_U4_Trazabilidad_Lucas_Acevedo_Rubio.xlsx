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cas\Desktop\"/>
    </mc:Choice>
  </mc:AlternateContent>
  <xr:revisionPtr revIDLastSave="0" documentId="8_{D085E77B-65FF-477F-8E85-B049A386DDBD}" xr6:coauthVersionLast="47" xr6:coauthVersionMax="47" xr10:uidLastSave="{00000000-0000-0000-0000-000000000000}"/>
  <bookViews>
    <workbookView xWindow="-120" yWindow="-120" windowWidth="29040" windowHeight="15720" firstSheet="2" activeTab="6" xr2:uid="{00000000-000D-0000-FFFF-FFFF00000000}"/>
  </bookViews>
  <sheets>
    <sheet name="📖 Instrucciones" sheetId="1" r:id="rId1"/>
    <sheet name="📋 Matriz principal" sheetId="2" r:id="rId2"/>
    <sheet name="🔗 Trazabilidad visual" sheetId="3" r:id="rId3"/>
    <sheet name="📊 Resumen y métricas" sheetId="4" r:id="rId4"/>
    <sheet name="📝 Registro de RFCs" sheetId="5" r:id="rId5"/>
    <sheet name="🗂️ Catálogo de artefactos" sheetId="6" r:id="rId6"/>
    <sheet name="⚙️ Evidencia de gestión" sheetId="7" r:id="rId7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4" l="1"/>
  <c r="E14" i="4"/>
  <c r="C14" i="4"/>
  <c r="A14" i="4"/>
  <c r="F10" i="4"/>
  <c r="E10" i="4"/>
  <c r="D10" i="4"/>
  <c r="C10" i="4"/>
  <c r="B10" i="4"/>
  <c r="A10" i="4"/>
  <c r="E5" i="4"/>
  <c r="C5" i="4"/>
  <c r="I5" i="4" s="1"/>
  <c r="A5" i="4"/>
  <c r="G10" i="4" s="1"/>
  <c r="N17" i="3"/>
  <c r="N20" i="3" s="1"/>
  <c r="M17" i="3"/>
  <c r="M20" i="3" s="1"/>
  <c r="L17" i="3"/>
  <c r="L20" i="3" s="1"/>
  <c r="K17" i="3"/>
  <c r="K20" i="3" s="1"/>
  <c r="J17" i="3"/>
  <c r="J20" i="3" s="1"/>
  <c r="I17" i="3"/>
  <c r="I20" i="3" s="1"/>
  <c r="H17" i="3"/>
  <c r="H20" i="3" s="1"/>
  <c r="G17" i="3"/>
  <c r="G20" i="3" s="1"/>
  <c r="F17" i="3"/>
  <c r="F20" i="3" s="1"/>
  <c r="E17" i="3"/>
  <c r="E20" i="3" s="1"/>
  <c r="D17" i="3"/>
  <c r="D20" i="3" s="1"/>
  <c r="C17" i="3"/>
  <c r="C20" i="3" s="1"/>
  <c r="G5" i="4" l="1"/>
</calcChain>
</file>

<file path=xl/sharedStrings.xml><?xml version="1.0" encoding="utf-8"?>
<sst xmlns="http://schemas.openxmlformats.org/spreadsheetml/2006/main" count="698" uniqueCount="312">
  <si>
    <t>MATRIZ DE TRAZABILIDAD DE REQUISITOS</t>
  </si>
  <si>
    <t>Plantilla estándar para proyectos de desarrollo de software · Versión 1.0</t>
  </si>
  <si>
    <t>¿QUÉ ES ESTA PLANTILLA?</t>
  </si>
  <si>
    <t>Esta plantilla permite rastrear cada necesidad de negocio a través de todo el ciclo de vida del software: desde el requisito que la documenta, hasta los casos de prueba que la verifican y el código que la implementa. Cuando un requisito cambia, la matriz muestra de inmediato qué otros artefactos deben actualizarse, evitando el scope creep silencioso y las regresiones no detectadas.</t>
  </si>
  <si>
    <t>ESTRUCTURA DE LA PLANTILLA</t>
  </si>
  <si>
    <t>📋 Matriz principal</t>
  </si>
  <si>
    <t>Hoja central. Cada fila es un requisito. Registra origen, especificación, pruebas, estado y RFC asociada.</t>
  </si>
  <si>
    <t>🔗 Trazabilidad visual</t>
  </si>
  <si>
    <t>Vista cruzada (requisitos × artefactos). Un ✓ en cada celda indica que el artefacto cubre ese requisito.</t>
  </si>
  <si>
    <t>📊 Resumen y métricas</t>
  </si>
  <si>
    <t>Dashboard automático: % de cobertura, requisitos sin prueba, cambios pendientes y semáforo de salud.</t>
  </si>
  <si>
    <t>📝 Registro de RFCs</t>
  </si>
  <si>
    <t>Historial de todas las Solicitudes de Cambio procesadas, con estado y artefactos impactados.</t>
  </si>
  <si>
    <t>🗂️ Catálogo de artefactos</t>
  </si>
  <si>
    <t>Inventario de todos los documentos, módulos de código y casos de prueba referenciados en la matriz.</t>
  </si>
  <si>
    <t>GUÍA DE COLORES Y ESTADOS</t>
  </si>
  <si>
    <t>Activo / Aprobado / Completado</t>
  </si>
  <si>
    <t>El requisito o artefacto está en uso y verificado.</t>
  </si>
  <si>
    <t>En desarrollo / Pendiente de revisión</t>
  </si>
  <si>
    <t>Trabajo en curso. Requiere seguimiento.</t>
  </si>
  <si>
    <t>Rechazado / Bloqueado / Sin cobertura</t>
  </si>
  <si>
    <t>Requiere acción inmediata. No puede cerrarse el ciclo.</t>
  </si>
  <si>
    <t>Propuesto / En análisis</t>
  </si>
  <si>
    <t>RFC o requisito recién ingresado, aún no evaluado.</t>
  </si>
  <si>
    <t>Aplazado / En espera de decisión</t>
  </si>
  <si>
    <t>El CCB ha pospuesto la decisión a una iteración futura.</t>
  </si>
  <si>
    <t>Archivado / Fuera de alcance</t>
  </si>
  <si>
    <t>No aplica al sprint actual. Conservado por trazabilidad histórica.</t>
  </si>
  <si>
    <t>FLUJO DE TRABAJO RECOMENDADO</t>
  </si>
  <si>
    <t>1. Al iniciar el proyecto, registra todas las necesidades de negocio en la columna 'ID Necesidad' de la Matriz principal.</t>
  </si>
  <si>
    <t>2. Para cada necesidad, crea al menos un requisito en la hoja Matriz principal. Completa todas las columnas.</t>
  </si>
  <si>
    <t>3. A medida que avanza el desarrollo, actualiza 'ID Código', 'ID Caso de prueba' y 'Resultado prueba'.</t>
  </si>
  <si>
    <t>4. Cuando llegue una RFC, regístrala en la hoja 'Registro de RFCs' y actualiza las filas afectadas en la Matriz principal.</t>
  </si>
  <si>
    <t>5. Usa la hoja 'Trazabilidad visual' para detectar requisitos sin cobertura (celdas vacías en columnas de artefactos).</t>
  </si>
  <si>
    <t>6. Revisa el 'Resumen y métricas' antes de cada reunión del CCB o revisión de sprint.</t>
  </si>
  <si>
    <t>7. Al cerrar el proyecto, archiva la matriz completa junto con el SRS y el informe de lecciones aprendidas.</t>
  </si>
  <si>
    <t>MATRIZ DE TRAZABILIDAD DE REQUISITOS — Hoja principal</t>
  </si>
  <si>
    <t>IDENTIFICACIÓN</t>
  </si>
  <si>
    <t>ORIGEN</t>
  </si>
  <si>
    <t>ESPECIFICACIÓN</t>
  </si>
  <si>
    <t>IMPLEMENTACIÓN</t>
  </si>
  <si>
    <t>VERIFICACIÓN</t>
  </si>
  <si>
    <t>ESTADO Y CAMBIOS</t>
  </si>
  <si>
    <t>ID Requisito</t>
  </si>
  <si>
    <t>Título del requisito</t>
  </si>
  <si>
    <t>Tipo</t>
  </si>
  <si>
    <t>ID Necesidad
de negocio</t>
  </si>
  <si>
    <t>Stakeholder
solicitante</t>
  </si>
  <si>
    <t>Prioridad
(MoSCoW)</t>
  </si>
  <si>
    <t>Versión
SRS</t>
  </si>
  <si>
    <t>Criterios de
aceptación (resumen)</t>
  </si>
  <si>
    <t>ID Módulo /
Código</t>
  </si>
  <si>
    <t>Sprint
implementación</t>
  </si>
  <si>
    <t>Responsable
desarrollo</t>
  </si>
  <si>
    <t>ID Caso de
prueba</t>
  </si>
  <si>
    <t>Resultado
prueba</t>
  </si>
  <si>
    <t>Fecha última
prueba</t>
  </si>
  <si>
    <t>Estado actual</t>
  </si>
  <si>
    <t>RFC asociada</t>
  </si>
  <si>
    <t>Última
actualización</t>
  </si>
  <si>
    <t>Notas / Observaciones</t>
  </si>
  <si>
    <t>TRAZABILIDAD VISUAL — Requisitos × Artefactos</t>
  </si>
  <si>
    <t>Necesidades</t>
  </si>
  <si>
    <t>Casos de prueba</t>
  </si>
  <si>
    <t>Módulos código</t>
  </si>
  <si>
    <t>REGISTRO DE SOLICITUDES DE CAMBIO (RFC)</t>
  </si>
  <si>
    <t>ID RFC</t>
  </si>
  <si>
    <t>Título del cambio</t>
  </si>
  <si>
    <t>Solicitante</t>
  </si>
  <si>
    <t>Fecha solicitud</t>
  </si>
  <si>
    <t>Prioridad</t>
  </si>
  <si>
    <t>Requisito(s) afect.</t>
  </si>
  <si>
    <t>Artefactos impactados</t>
  </si>
  <si>
    <t>Decisión CCB</t>
  </si>
  <si>
    <t>Fecha decisión</t>
  </si>
  <si>
    <t>Responsable impl.</t>
  </si>
  <si>
    <t>Sprint impl.</t>
  </si>
  <si>
    <t>Estado RFC</t>
  </si>
  <si>
    <t>Notas</t>
  </si>
  <si>
    <t>CATÁLOGO DE ARTEFACTOS</t>
  </si>
  <si>
    <t>RF-01</t>
  </si>
  <si>
    <t>Subir marcha</t>
  </si>
  <si>
    <t>Funcional</t>
  </si>
  <si>
    <t>NEG-01</t>
  </si>
  <si>
    <t>Conductor / equipo de desarrollo</t>
  </si>
  <si>
    <t>Must have</t>
  </si>
  <si>
    <t>SRS v1.0</t>
  </si>
  <si>
    <t>Desde marcha n (1≤n&lt;5), una solicitud válida termina en n+1 y queda como máximo un engranaje acoplado.</t>
  </si>
  <si>
    <t>UnidadControl.subirMarcha() / CajaCambios</t>
  </si>
  <si>
    <t>Misión 3–4</t>
  </si>
  <si>
    <t>Lucas Acevedo Rubio</t>
  </si>
  <si>
    <t>TC-FUNC-01</t>
  </si>
  <si>
    <t>Diseñado</t>
  </si>
  <si>
    <t>2026-08-30</t>
  </si>
  <si>
    <t>Trazado</t>
  </si>
  <si>
    <t>2026-09-25</t>
  </si>
  <si>
    <t>Relacionado con CU-01.</t>
  </si>
  <si>
    <t>RF-02</t>
  </si>
  <si>
    <t>Bajar marcha</t>
  </si>
  <si>
    <t>Desde marcha n (1&lt;n≤5), una solicitud válida termina en n-1.</t>
  </si>
  <si>
    <t>UnidadControl.bajarMarcha() / CajaCambios</t>
  </si>
  <si>
    <t>TC-FUNC-02</t>
  </si>
  <si>
    <t>Relacionado con CU-02.</t>
  </si>
  <si>
    <t>RF-03</t>
  </si>
  <si>
    <t>Seleccionar una marcha mediante palanca</t>
  </si>
  <si>
    <t>Una selección válida 1..5 deja ese valor como marcha actual y su engranaje como único acoplado.</t>
  </si>
  <si>
    <t>Palanca.cambiar() / UnidadControl</t>
  </si>
  <si>
    <t>TC-FUNC-03</t>
  </si>
  <si>
    <t>Relacionado con CU-03.</t>
  </si>
  <si>
    <t>RF-04</t>
  </si>
  <si>
    <t>Validar límites de marcha</t>
  </si>
  <si>
    <t>NEG-02</t>
  </si>
  <si>
    <t>Equipo de desarrollo / QA</t>
  </si>
  <si>
    <t>Entradas fuera de 1..5 o subir desde 5/bajar desde 1 se rechazan sin cambiar el último estado válido.</t>
  </si>
  <si>
    <t>UnidadControl / CajaCambios</t>
  </si>
  <si>
    <t>Comparte TC-FUNC-03 con RF-03.</t>
  </si>
  <si>
    <t>RF-05</t>
  </si>
  <si>
    <t>Cambiar modo de funcionamiento</t>
  </si>
  <si>
    <t>NEG-03</t>
  </si>
  <si>
    <t>Should have</t>
  </si>
  <si>
    <t>El modo resultante pertenece a los modos válidos configurados y es observable por el sistema.</t>
  </si>
  <si>
    <t>SelectorModo.cambiar() / UnidadControl</t>
  </si>
  <si>
    <t>TC-FUNC-04</t>
  </si>
  <si>
    <t>Relacionado con CU-04.</t>
  </si>
  <si>
    <t>RF-06</t>
  </si>
  <si>
    <t>Activar embrague al pisar el pedal</t>
  </si>
  <si>
    <t>NEG-04</t>
  </si>
  <si>
    <t>Tras pisar el pedal, el estado informado por el embrague es activado.</t>
  </si>
  <si>
    <t>Pedal.pisar() / Embrague.activar()</t>
  </si>
  <si>
    <t>TC-FUNC-05</t>
  </si>
  <si>
    <t>Relacionado con CU-05.</t>
  </si>
  <si>
    <t>RF-07</t>
  </si>
  <si>
    <t>Desactivar embrague al soltar el pedal</t>
  </si>
  <si>
    <t>Tras soltar el pedal, el estado informado por el embrague es desactivado.</t>
  </si>
  <si>
    <t>Pedal.soltar() / Embrague.desactivar()</t>
  </si>
  <si>
    <t>RF-08</t>
  </si>
  <si>
    <t>Informar estado del embrague</t>
  </si>
  <si>
    <t>Unidad de control / QA</t>
  </si>
  <si>
    <t>La información reportada coincide con el último estado activado/desactivado registrado.</t>
  </si>
  <si>
    <t>Embrague.informarEstado()</t>
  </si>
  <si>
    <t>RF-09</t>
  </si>
  <si>
    <t>Acoplar un único engranaje</t>
  </si>
  <si>
    <t>NEG-05</t>
  </si>
  <si>
    <t>Después de un cambio válido existe exactamente un engranaje acoplado.</t>
  </si>
  <si>
    <t>CajaCambios.acoplar() / Engranaje</t>
  </si>
  <si>
    <t>TC-FUNC-01, TC-FUNC-02, TC-FUNC-03</t>
  </si>
  <si>
    <t>Trazado a CU-01/CU-02/CU-03.</t>
  </si>
  <si>
    <t>RF-10</t>
  </si>
  <si>
    <t>Desacoplar engranaje</t>
  </si>
  <si>
    <t>Tras ejecutar desacoplar, no hay engranajes acoplados durante la transición requerida.</t>
  </si>
  <si>
    <t>CajaCambios.desacoplar() / Engranaje.desengranar()</t>
  </si>
  <si>
    <t>RNF-01</t>
  </si>
  <si>
    <t>Tiempo de respuesta</t>
  </si>
  <si>
    <t>Rendimiento</t>
  </si>
  <si>
    <t>NEG-06</t>
  </si>
  <si>
    <t>Usuario del simulador / QA</t>
  </si>
  <si>
    <t>Al menos 95 de 100 cambios válidos reflejan la nueva marcha en ≤100 ms.</t>
  </si>
  <si>
    <t>Subsistema de transmisión</t>
  </si>
  <si>
    <t>TC-NF-01</t>
  </si>
  <si>
    <t>Prueba de rendimiento.</t>
  </si>
  <si>
    <t>RNF-02</t>
  </si>
  <si>
    <t>Integridad del estado</t>
  </si>
  <si>
    <t>Calidad</t>
  </si>
  <si>
    <t>NEG-07</t>
  </si>
  <si>
    <t>En 1.000 operaciones no aparece un estado con dos o más engranajes acoplados.</t>
  </si>
  <si>
    <t>CajaCambios / UnidadControl</t>
  </si>
  <si>
    <t>TC-NF-02</t>
  </si>
  <si>
    <t>Comparte TC-NF-02 con RNF-03.</t>
  </si>
  <si>
    <t>RNF-03</t>
  </si>
  <si>
    <t>Fiabilidad</t>
  </si>
  <si>
    <t>1.000 cambios válidos consecutivos sin fallos críticos, pérdida de estado ni discrepancias.</t>
  </si>
  <si>
    <t>Comparte TC-NF-02 con RNF-02.</t>
  </si>
  <si>
    <t>RNF-04</t>
  </si>
  <si>
    <t>Disponibilidad lógica</t>
  </si>
  <si>
    <t>Disponibilidad</t>
  </si>
  <si>
    <t>NEG-08</t>
  </si>
  <si>
    <t>Disponibilidad medida ≥99,9% durante una sesión controlada de 60 minutos.</t>
  </si>
  <si>
    <t>TC-NF-03</t>
  </si>
  <si>
    <t>Prueba de disponibilidad.</t>
  </si>
  <si>
    <t>RNF-05</t>
  </si>
  <si>
    <t>Mantenibilidad</t>
  </si>
  <si>
    <t>NEG-09</t>
  </si>
  <si>
    <t>Equipo de desarrollo</t>
  </si>
  <si>
    <t>Una revisión de código debe confirmar separación por componentes y ausencia de duplicación del estado principal.</t>
  </si>
  <si>
    <t>UnidadControl / Embrague / Caja / Engranaje</t>
  </si>
  <si>
    <t>Pendiente implementación</t>
  </si>
  <si>
    <t>Pendiente</t>
  </si>
  <si>
    <t>Pendiente verificación</t>
  </si>
  <si>
    <t>Brecha de auditoría: el SRS define el criterio, pero no existe caso de prueba/revisión ejecutable en el plan actual.</t>
  </si>
  <si>
    <t>RNF-06</t>
  </si>
  <si>
    <t>Portabilidad</t>
  </si>
  <si>
    <t>NEG-10</t>
  </si>
  <si>
    <t>Could have</t>
  </si>
  <si>
    <t>Los casos funcionales pueden ejecutarse automáticamente sin volante, palanca ni pedal físico.</t>
  </si>
  <si>
    <t>Capa de eventos de entrada</t>
  </si>
  <si>
    <t>TC-NF-04</t>
  </si>
  <si>
    <t>Prueba de portabilidad sin hardware físico.</t>
  </si>
  <si>
    <t>ID Req.</t>
  </si>
  <si>
    <t>Título (abrev.)</t>
  </si>
  <si>
    <t>SRS-001</t>
  </si>
  <si>
    <t>UML-001</t>
  </si>
  <si>
    <t>UML-002</t>
  </si>
  <si>
    <t>✓</t>
  </si>
  <si>
    <t>Cobertura por artefacto (%)</t>
  </si>
  <si>
    <t>RESUMEN Y MÉTRICAS — Auditoría de trazabilidad</t>
  </si>
  <si>
    <t>Caso auditado: Simulador de Transmisión Mecánica · cierre 25/09/2026</t>
  </si>
  <si>
    <t>Total requisitos</t>
  </si>
  <si>
    <t>Con evidencia de prueba</t>
  </si>
  <si>
    <t>Brechas detectadas</t>
  </si>
  <si>
    <t>Cobertura de prueba</t>
  </si>
  <si>
    <t>DISTRIBUCIÓN POR TIPO</t>
  </si>
  <si>
    <t>Otros</t>
  </si>
  <si>
    <t>DISTRIBUCIÓN POR PRIORIDAD (MoSCoW)</t>
  </si>
  <si>
    <t>Won't have</t>
  </si>
  <si>
    <t>HALLAZGO DE AUDITORÍA</t>
  </si>
  <si>
    <t>RNF-05 (Mantenibilidad) tiene criterio de aceptación en la SRS, pero no tiene caso de prueba/revisión asociado en el plan de pruebas actual. La matriz lo deja visible como brecha para cierre.</t>
  </si>
  <si>
    <t>RFC-A1</t>
  </si>
  <si>
    <t>Gestión de clima extremo / alerta meteorológica</t>
  </si>
  <si>
    <t>Equipo del proyecto</t>
  </si>
  <si>
    <t>2026-09-14</t>
  </si>
  <si>
    <t>Alta</t>
  </si>
  <si>
    <t>Compañía Aérea</t>
  </si>
  <si>
    <t>PV-001; PB-001</t>
  </si>
  <si>
    <t>Aprobada</t>
  </si>
  <si>
    <t>Cierre U3</t>
  </si>
  <si>
    <t>Cerrada</t>
  </si>
  <si>
    <t>Artefacto del caso Compañía Aérea; no modifica el SRS del simulador.</t>
  </si>
  <si>
    <t>RFC-A2</t>
  </si>
  <si>
    <t>Automatización de notificaciones Teams/Email</t>
  </si>
  <si>
    <t>Media</t>
  </si>
  <si>
    <t>Artefacto del caso Compañía Aérea.</t>
  </si>
  <si>
    <t>RFC-B1</t>
  </si>
  <si>
    <t>Promedio de las últimas 3 simulaciones</t>
  </si>
  <si>
    <t>RFC-B2</t>
  </si>
  <si>
    <t>Fórmula 70% simulación / 30% experiencia real</t>
  </si>
  <si>
    <t>RFC-C1</t>
  </si>
  <si>
    <t>IA predictiva de escenarios</t>
  </si>
  <si>
    <t>Rechazada</t>
  </si>
  <si>
    <t>CCB</t>
  </si>
  <si>
    <t>N/A</t>
  </si>
  <si>
    <t>Rechazada por riesgo de caja negra en la decisión.</t>
  </si>
  <si>
    <t>RFC-C2</t>
  </si>
  <si>
    <t>Alineación con norma NAC-2026</t>
  </si>
  <si>
    <t>Incluida en el plan de implementación del caso.</t>
  </si>
  <si>
    <t>ID único</t>
  </si>
  <si>
    <t>Nombre / Descripción</t>
  </si>
  <si>
    <t>Versión</t>
  </si>
  <si>
    <t>Estado final</t>
  </si>
  <si>
    <t>Autor o revisor</t>
  </si>
  <si>
    <t>Fecha de cierre</t>
  </si>
  <si>
    <t>Artefactos relacionados</t>
  </si>
  <si>
    <t>PV-001</t>
  </si>
  <si>
    <t>Product Vision Board</t>
  </si>
  <si>
    <t>Visión del producto — Compañía Aérea</t>
  </si>
  <si>
    <t>1.0</t>
  </si>
  <si>
    <t>Cerrado</t>
  </si>
  <si>
    <t>PB-001; RFC-A1; RFC-A2</t>
  </si>
  <si>
    <t>PB-001</t>
  </si>
  <si>
    <t>Product Backlog</t>
  </si>
  <si>
    <t>Backlog — Compañía Aérea</t>
  </si>
  <si>
    <t>PV-001; RFC-A1; RFC-B1</t>
  </si>
  <si>
    <t>RFC</t>
  </si>
  <si>
    <t>Clima extremo / alerta meteorológica</t>
  </si>
  <si>
    <t>Aprobado por CCB</t>
  </si>
  <si>
    <t>Notificaciones Teams/Email</t>
  </si>
  <si>
    <t>Promedio últimas 3 simulaciones</t>
  </si>
  <si>
    <t>Rechazado por CCB</t>
  </si>
  <si>
    <t>Alineación con NAC-2026</t>
  </si>
  <si>
    <t>Documento SRS</t>
  </si>
  <si>
    <t>SRS Simulador de Transmisión Mecánica</t>
  </si>
  <si>
    <t>RF-01..RF-10; RNF-01..RNF-06; TC-001</t>
  </si>
  <si>
    <t>Modelo UML</t>
  </si>
  <si>
    <t>Modelo estructural UML</t>
  </si>
  <si>
    <t>SRS-001; RF-06..RF-10; RNF-02; RNF-05</t>
  </si>
  <si>
    <t>Modelo de comportamiento / casos de uso</t>
  </si>
  <si>
    <t>SRS-001; CU-01..CU-05; RF-01..RF-08</t>
  </si>
  <si>
    <t>TC-001</t>
  </si>
  <si>
    <t>Plan de pruebas</t>
  </si>
  <si>
    <t>Casos de prueba del Simulador de Transmisión Mecánica</t>
  </si>
  <si>
    <t>SRS-001; RF-01..RF-10; RNF-01..RNF-04; RNF-06</t>
  </si>
  <si>
    <t>PROTO-001</t>
  </si>
  <si>
    <t>Prototipo</t>
  </si>
  <si>
    <t>Prototipo funcional del caso trabajado en U3</t>
  </si>
  <si>
    <t>CODE-001; MATRIX-001</t>
  </si>
  <si>
    <t>CODE-001</t>
  </si>
  <si>
    <t>Código</t>
  </si>
  <si>
    <t>Código del prototipo funcional</t>
  </si>
  <si>
    <t>PROTO-001; MATRIX-001</t>
  </si>
  <si>
    <t>MATRIX-001</t>
  </si>
  <si>
    <t>Matriz de trazabilidad</t>
  </si>
  <si>
    <t>Matriz de trazabilidad y auditoría de cierre</t>
  </si>
  <si>
    <t>SRS-001; TC-001; RFC-A1..RFC-C2</t>
  </si>
  <si>
    <t>README-001</t>
  </si>
  <si>
    <t>Documentación</t>
  </si>
  <si>
    <t>README del repositorio y lecciones aprendidas</t>
  </si>
  <si>
    <t>Todos los artefactos</t>
  </si>
  <si>
    <t>EVIDENCIA DE GESTIÓN DE ARTEFACTOS Y VERSIONADO</t>
  </si>
  <si>
    <t>Campo</t>
  </si>
  <si>
    <t>Evidencia / acción</t>
  </si>
  <si>
    <t>Herramienta de gestión</t>
  </si>
  <si>
    <t>GitHub (repositorio del portafolio)</t>
  </si>
  <si>
    <t>Control de versiones</t>
  </si>
  <si>
    <t>Git: commits por actividad / versión</t>
  </si>
  <si>
    <t>Matriz automatizada</t>
  </si>
  <si>
    <t>Generación/actualización mediante script build_traceability_matrix.py</t>
  </si>
  <si>
    <t>Datos fuente</t>
  </si>
  <si>
    <t>SRS + casos de prueba + catálogo de artefactos + registro de RFCs</t>
  </si>
  <si>
    <t>Autor</t>
  </si>
  <si>
    <t>URL repositorio</t>
  </si>
  <si>
    <t>https://github.com/LUCASACEVEDO1/PORTAFOLIO-INGENIERIA-REQUISITOS</t>
  </si>
  <si>
    <t xml:space="preserve">Lucas </t>
  </si>
  <si>
    <t>Lucas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</si>
</sst>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4" x14ac:knownFonts="1">
    <font>
      <sz val="11"/>
      <color theme="1"/>
      <name val="Roboto"/>
    </font>
    <font>
      <b/>
      <sz val="18"/>
      <color rgb="FFFFFFFF"/>
      <name val="Arial"/>
    </font>
    <font>
      <b/>
      <sz val="11"/>
      <color rgb="FF1A1A1A"/>
      <name val="Arial"/>
    </font>
    <font>
      <sz val="9"/>
      <color rgb="FF1A1A1A"/>
      <name val="Arial"/>
    </font>
    <font>
      <b/>
      <sz val="9"/>
      <color rgb="FF993556"/>
      <name val="Arial"/>
    </font>
    <font>
      <b/>
      <sz val="9"/>
      <color rgb="FF27500A"/>
      <name val="Arial"/>
    </font>
    <font>
      <sz val="9"/>
      <color rgb="FF555555"/>
      <name val="Arial"/>
    </font>
    <font>
      <b/>
      <sz val="9"/>
      <color rgb="FF633806"/>
      <name val="Arial"/>
    </font>
    <font>
      <b/>
      <sz val="9"/>
      <color rgb="FF791F1F"/>
      <name val="Arial"/>
    </font>
    <font>
      <b/>
      <sz val="9"/>
      <color rgb="FF0C447C"/>
      <name val="Arial"/>
    </font>
    <font>
      <b/>
      <sz val="9"/>
      <color rgb="FF3C3489"/>
      <name val="Arial"/>
    </font>
    <font>
      <b/>
      <sz val="9"/>
      <color rgb="FF888780"/>
      <name val="Arial"/>
    </font>
    <font>
      <b/>
      <sz val="14"/>
      <color rgb="FFFFFFFF"/>
      <name val="Arial"/>
    </font>
    <font>
      <b/>
      <sz val="9"/>
      <color rgb="FFFFFFFF"/>
      <name val="Arial"/>
    </font>
    <font>
      <b/>
      <sz val="9"/>
      <color rgb="FF1A1A1A"/>
      <name val="Arial"/>
    </font>
    <font>
      <b/>
      <sz val="8"/>
      <color rgb="FFFFFFFF"/>
      <name val="Arial"/>
    </font>
    <font>
      <b/>
      <sz val="10"/>
      <color rgb="FF27500A"/>
      <name val="Arial"/>
    </font>
    <font>
      <i/>
      <sz val="9"/>
      <color rgb="FFD4537E"/>
      <name val="Arial"/>
    </font>
    <font>
      <sz val="9"/>
      <color rgb="FFFFFFFF"/>
      <name val="Arial"/>
    </font>
    <font>
      <b/>
      <sz val="22"/>
      <color rgb="FFFFFFFF"/>
      <name val="Arial"/>
    </font>
    <font>
      <b/>
      <sz val="10"/>
      <color rgb="FFFFFFFF"/>
      <name val="Arial"/>
    </font>
    <font>
      <b/>
      <sz val="8"/>
      <color rgb="FF0C447C"/>
      <name val="Arial"/>
    </font>
    <font>
      <b/>
      <sz val="16"/>
      <color rgb="FF0C447C"/>
      <name val="Arial"/>
    </font>
    <font>
      <b/>
      <sz val="8"/>
      <color rgb="FF085041"/>
      <name val="Arial"/>
    </font>
    <font>
      <b/>
      <sz val="16"/>
      <color rgb="FF085041"/>
      <name val="Arial"/>
    </font>
    <font>
      <b/>
      <sz val="8"/>
      <color rgb="FF633806"/>
      <name val="Arial"/>
    </font>
    <font>
      <b/>
      <sz val="16"/>
      <color rgb="FF633806"/>
      <name val="Arial"/>
    </font>
    <font>
      <b/>
      <sz val="8"/>
      <color rgb="FF27500A"/>
      <name val="Arial"/>
    </font>
    <font>
      <b/>
      <sz val="16"/>
      <color rgb="FF27500A"/>
      <name val="Arial"/>
    </font>
    <font>
      <b/>
      <sz val="8"/>
      <color rgb="FF3C3489"/>
      <name val="Arial"/>
    </font>
    <font>
      <b/>
      <sz val="16"/>
      <color rgb="FF3C3489"/>
      <name val="Arial"/>
    </font>
    <font>
      <b/>
      <sz val="8"/>
      <color rgb="FF791F1F"/>
      <name val="Arial"/>
    </font>
    <font>
      <b/>
      <sz val="16"/>
      <color rgb="FF791F1F"/>
      <name val="Arial"/>
    </font>
    <font>
      <b/>
      <sz val="8"/>
      <color rgb="FF888780"/>
      <name val="Arial"/>
    </font>
    <font>
      <b/>
      <sz val="16"/>
      <color rgb="FF888780"/>
      <name val="Arial"/>
    </font>
    <font>
      <b/>
      <sz val="18"/>
      <color rgb="FF791F1F"/>
      <name val="Arial"/>
    </font>
    <font>
      <b/>
      <sz val="18"/>
      <color rgb="FF633806"/>
      <name val="Arial"/>
    </font>
    <font>
      <b/>
      <sz val="18"/>
      <color rgb="FF0C447C"/>
      <name val="Arial"/>
    </font>
    <font>
      <b/>
      <sz val="18"/>
      <color rgb="FF888780"/>
      <name val="Arial"/>
    </font>
    <font>
      <i/>
      <sz val="9"/>
      <color rgb="FF791F1F"/>
      <name val="Arial"/>
    </font>
    <font>
      <b/>
      <sz val="9"/>
      <color rgb="FF085041"/>
      <name val="Arial"/>
    </font>
    <font>
      <b/>
      <sz val="9"/>
      <color theme="9" tint="-0.49995422223578601"/>
      <name val="Arial"/>
    </font>
    <font>
      <sz val="11"/>
      <color theme="9" tint="-0.49995422223578601"/>
      <name val="Roboto"/>
    </font>
    <font>
      <i/>
      <sz val="10"/>
      <color theme="9" tint="-0.49995422223578601"/>
      <name val="Arial"/>
    </font>
  </fonts>
  <fills count="20">
    <fill>
      <patternFill patternType="none"/>
    </fill>
    <fill>
      <patternFill patternType="gray125"/>
    </fill>
    <fill>
      <patternFill patternType="solid">
        <fgColor rgb="FFFBEAF0"/>
      </patternFill>
    </fill>
    <fill>
      <patternFill patternType="solid">
        <fgColor rgb="FFF5F4F2"/>
      </patternFill>
    </fill>
    <fill>
      <patternFill patternType="solid">
        <fgColor rgb="FFFFFFFF"/>
      </patternFill>
    </fill>
    <fill>
      <patternFill patternType="solid">
        <fgColor rgb="FFEAF3DE"/>
      </patternFill>
    </fill>
    <fill>
      <patternFill patternType="solid">
        <fgColor rgb="FFFAEEDA"/>
      </patternFill>
    </fill>
    <fill>
      <patternFill patternType="solid">
        <fgColor rgb="FFFCEBEB"/>
      </patternFill>
    </fill>
    <fill>
      <patternFill patternType="solid">
        <fgColor rgb="FFE6F1FB"/>
      </patternFill>
    </fill>
    <fill>
      <patternFill patternType="solid">
        <fgColor rgb="FFEEEDFE"/>
      </patternFill>
    </fill>
    <fill>
      <patternFill patternType="solid">
        <fgColor rgb="FFFDF5F8"/>
      </patternFill>
    </fill>
    <fill>
      <patternFill patternType="solid">
        <fgColor rgb="FFBA7517"/>
      </patternFill>
    </fill>
    <fill>
      <patternFill patternType="solid">
        <fgColor rgb="FF185FA5"/>
      </patternFill>
    </fill>
    <fill>
      <patternFill patternType="solid">
        <fgColor rgb="FF1D9E75"/>
      </patternFill>
    </fill>
    <fill>
      <patternFill patternType="solid">
        <fgColor rgb="FF3B6D11"/>
      </patternFill>
    </fill>
    <fill>
      <patternFill patternType="solid">
        <fgColor rgb="FF7F77DD"/>
      </patternFill>
    </fill>
    <fill>
      <patternFill patternType="solid">
        <fgColor rgb="FFA32D2D"/>
      </patternFill>
    </fill>
    <fill>
      <patternFill patternType="solid">
        <fgColor rgb="FFE1F5EE"/>
      </patternFill>
    </fill>
    <fill>
      <patternFill patternType="solid">
        <fgColor theme="9" tint="-0.49995422223578601"/>
        <bgColor indexed="65"/>
      </patternFill>
    </fill>
    <fill>
      <patternFill patternType="solid">
        <fgColor theme="9" tint="0.79995117038483843"/>
        <bgColor indexed="65"/>
      </patternFill>
    </fill>
  </fills>
  <borders count="26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CCCC"/>
      </left>
      <right style="thin">
        <color rgb="FFDDCCCC"/>
      </right>
      <top style="thin">
        <color rgb="FFDDCCCC"/>
      </top>
      <bottom style="thin">
        <color rgb="FFDDCCCC"/>
      </bottom>
      <diagonal/>
    </border>
    <border>
      <left style="thin">
        <color rgb="FFBA7517"/>
      </left>
      <right style="thin">
        <color rgb="FFBA7517"/>
      </right>
      <top style="thin">
        <color rgb="FFBA7517"/>
      </top>
      <bottom style="thin">
        <color rgb="FFBA7517"/>
      </bottom>
      <diagonal/>
    </border>
    <border>
      <left style="thin">
        <color rgb="FF1D9E75"/>
      </left>
      <right style="thin">
        <color rgb="FF1D9E75"/>
      </right>
      <top style="thin">
        <color rgb="FF1D9E75"/>
      </top>
      <bottom style="thin">
        <color rgb="FF1D9E75"/>
      </bottom>
      <diagonal/>
    </border>
    <border>
      <left style="thin">
        <color rgb="FF3B6D11"/>
      </left>
      <right style="thin">
        <color rgb="FF3B6D11"/>
      </right>
      <top style="thin">
        <color rgb="FF3B6D11"/>
      </top>
      <bottom style="thin">
        <color rgb="FF3B6D11"/>
      </bottom>
      <diagonal/>
    </border>
    <border>
      <left style="thin">
        <color rgb="FF7F77DD"/>
      </left>
      <right style="thin">
        <color rgb="FF7F77DD"/>
      </right>
      <top style="thin">
        <color rgb="FF7F77DD"/>
      </top>
      <bottom style="thin">
        <color rgb="FF7F77D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A32D2D"/>
      </left>
      <right style="thin">
        <color rgb="FFA32D2D"/>
      </right>
      <top style="thin">
        <color rgb="FFA32D2D"/>
      </top>
      <bottom style="thin">
        <color rgb="FFA32D2D"/>
      </bottom>
      <diagonal/>
    </border>
    <border>
      <left/>
      <right/>
      <top/>
      <bottom style="thin">
        <color theme="9" tint="0.79995117038483843"/>
      </bottom>
      <diagonal/>
    </border>
    <border>
      <left style="thin">
        <color theme="9" tint="0.79995117038483843"/>
      </left>
      <right style="thin">
        <color rgb="FFD4537E"/>
      </right>
      <top style="thin">
        <color theme="9" tint="0.79995117038483843"/>
      </top>
      <bottom style="thin">
        <color rgb="FFD4537E"/>
      </bottom>
      <diagonal/>
    </border>
    <border>
      <left/>
      <right/>
      <top/>
      <bottom style="thin">
        <color rgb="FFD4537E"/>
      </bottom>
      <diagonal/>
    </border>
    <border>
      <left style="thin">
        <color theme="9" tint="0.79995117038483843"/>
      </left>
      <right style="thin">
        <color theme="9" tint="0.79995117038483843"/>
      </right>
      <top style="thin">
        <color theme="9" tint="0.79995117038483843"/>
      </top>
      <bottom style="thin">
        <color theme="9" tint="0.79995117038483843"/>
      </bottom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  <border>
      <left/>
      <right/>
      <top style="thin">
        <color theme="9" tint="0.79995117038483843"/>
      </top>
      <bottom style="thin">
        <color theme="9" tint="0.79995117038483843"/>
      </bottom>
      <diagonal/>
    </border>
    <border>
      <left style="thin">
        <color theme="9" tint="0.79995117038483843"/>
      </left>
      <right/>
      <top style="thin">
        <color theme="9" tint="0.79995117038483843"/>
      </top>
      <bottom style="thin">
        <color theme="9" tint="0.79995117038483843"/>
      </bottom>
      <diagonal/>
    </border>
    <border>
      <left/>
      <right style="thin">
        <color rgb="FF3B6D11"/>
      </right>
      <top style="thin">
        <color rgb="FF3B6D11"/>
      </top>
      <bottom style="thin">
        <color rgb="FF3B6D11"/>
      </bottom>
      <diagonal/>
    </border>
    <border>
      <left style="thin">
        <color rgb="FF791F1F"/>
      </left>
      <right style="thin">
        <color rgb="FF791F1F"/>
      </right>
      <top/>
      <bottom/>
      <diagonal/>
    </border>
    <border>
      <left style="thin">
        <color rgb="FFD4537E"/>
      </left>
      <right/>
      <top/>
      <bottom style="thin">
        <color rgb="FFD4537E"/>
      </bottom>
      <diagonal/>
    </border>
    <border>
      <left style="thin">
        <color theme="9" tint="0.79995117038483843"/>
      </left>
      <right style="thin">
        <color theme="9" tint="0.79995117038483843"/>
      </right>
      <top style="thin">
        <color theme="9" tint="0.79995117038483843"/>
      </top>
      <bottom style="thin">
        <color rgb="FFD4537E"/>
      </bottom>
      <diagonal/>
    </border>
    <border>
      <left style="thin">
        <color rgb="FF993556"/>
      </left>
      <right style="thin">
        <color rgb="FF993556"/>
      </right>
      <top/>
      <bottom style="thin">
        <color rgb="FF993556"/>
      </bottom>
      <diagonal/>
    </border>
    <border>
      <left style="thin">
        <color rgb="FFBA7517"/>
      </left>
      <right style="thin">
        <color rgb="FFBA7517"/>
      </right>
      <top/>
      <bottom style="thin">
        <color rgb="FFBA7517"/>
      </bottom>
      <diagonal/>
    </border>
    <border>
      <left style="thin">
        <color rgb="FF185FA5"/>
      </left>
      <right style="thin">
        <color rgb="FF185FA5"/>
      </right>
      <top/>
      <bottom style="thin">
        <color rgb="FF185FA5"/>
      </bottom>
      <diagonal/>
    </border>
    <border>
      <left style="thin">
        <color rgb="FF1D9E75"/>
      </left>
      <right style="thin">
        <color rgb="FF1D9E75"/>
      </right>
      <top/>
      <bottom style="thin">
        <color rgb="FF1D9E75"/>
      </bottom>
      <diagonal/>
    </border>
    <border>
      <left style="thin">
        <color rgb="FF3B6D11"/>
      </left>
      <right style="thin">
        <color rgb="FF3B6D11"/>
      </right>
      <top/>
      <bottom style="thin">
        <color rgb="FF3B6D11"/>
      </bottom>
      <diagonal/>
    </border>
    <border>
      <left style="thin">
        <color rgb="FF7F77DD"/>
      </left>
      <right style="thin">
        <color rgb="FF7F77DD"/>
      </right>
      <top/>
      <bottom style="thin">
        <color rgb="FF7F77DD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3" fillId="4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13" fillId="11" borderId="7" xfId="0" applyFont="1" applyFill="1" applyBorder="1" applyAlignment="1">
      <alignment horizontal="center" vertical="center" wrapText="1"/>
    </xf>
    <xf numFmtId="0" fontId="13" fillId="12" borderId="7" xfId="0" applyFont="1" applyFill="1" applyBorder="1" applyAlignment="1">
      <alignment horizontal="center" vertical="center" wrapText="1"/>
    </xf>
    <xf numFmtId="0" fontId="13" fillId="13" borderId="7" xfId="0" applyFont="1" applyFill="1" applyBorder="1" applyAlignment="1">
      <alignment horizontal="center" vertical="center" wrapText="1"/>
    </xf>
    <xf numFmtId="0" fontId="13" fillId="14" borderId="7" xfId="0" applyFont="1" applyFill="1" applyBorder="1" applyAlignment="1">
      <alignment horizontal="center" vertical="center" wrapText="1"/>
    </xf>
    <xf numFmtId="0" fontId="13" fillId="15" borderId="7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5" fillId="11" borderId="7" xfId="0" applyFont="1" applyFill="1" applyBorder="1" applyAlignment="1">
      <alignment horizontal="center" vertical="center" wrapText="1"/>
    </xf>
    <xf numFmtId="0" fontId="15" fillId="14" borderId="7" xfId="0" applyFont="1" applyFill="1" applyBorder="1" applyAlignment="1">
      <alignment horizontal="center" vertical="center" wrapText="1"/>
    </xf>
    <xf numFmtId="0" fontId="15" fillId="13" borderId="7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3" fillId="18" borderId="7" xfId="0" applyFont="1" applyFill="1" applyBorder="1" applyAlignment="1">
      <alignment horizontal="center" vertical="center" wrapText="1"/>
    </xf>
    <xf numFmtId="0" fontId="15" fillId="18" borderId="7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3" fillId="10" borderId="13" xfId="0" applyFont="1" applyFill="1" applyBorder="1" applyAlignment="1">
      <alignment horizontal="left" vertical="center" wrapText="1"/>
    </xf>
    <xf numFmtId="0" fontId="3" fillId="10" borderId="13" xfId="0" applyFont="1" applyFill="1" applyBorder="1" applyAlignment="1">
      <alignment horizontal="center" vertical="center" wrapText="1"/>
    </xf>
    <xf numFmtId="0" fontId="7" fillId="6" borderId="13" xfId="0" applyFont="1" applyFill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 wrapText="1"/>
    </xf>
    <xf numFmtId="0" fontId="13" fillId="18" borderId="12" xfId="0" applyFont="1" applyFill="1" applyBorder="1" applyAlignment="1">
      <alignment horizontal="center" vertical="center" wrapText="1"/>
    </xf>
    <xf numFmtId="0" fontId="13" fillId="18" borderId="14" xfId="0" applyFont="1" applyFill="1" applyBorder="1" applyAlignment="1">
      <alignment horizontal="center" vertical="center" wrapText="1"/>
    </xf>
    <xf numFmtId="0" fontId="13" fillId="18" borderId="15" xfId="0" applyFont="1" applyFill="1" applyBorder="1" applyAlignment="1">
      <alignment horizontal="center" vertical="center" wrapText="1"/>
    </xf>
    <xf numFmtId="0" fontId="21" fillId="8" borderId="13" xfId="0" applyFont="1" applyFill="1" applyBorder="1" applyAlignment="1">
      <alignment horizontal="center" vertical="center" wrapText="1"/>
    </xf>
    <xf numFmtId="0" fontId="23" fillId="17" borderId="13" xfId="0" applyFont="1" applyFill="1" applyBorder="1" applyAlignment="1">
      <alignment horizontal="center" vertical="center" wrapText="1"/>
    </xf>
    <xf numFmtId="0" fontId="25" fillId="6" borderId="13" xfId="0" applyFont="1" applyFill="1" applyBorder="1" applyAlignment="1">
      <alignment horizontal="center" vertical="center" wrapText="1"/>
    </xf>
    <xf numFmtId="0" fontId="27" fillId="5" borderId="13" xfId="0" applyFont="1" applyFill="1" applyBorder="1" applyAlignment="1">
      <alignment horizontal="center" vertical="center" wrapText="1"/>
    </xf>
    <xf numFmtId="0" fontId="29" fillId="9" borderId="13" xfId="0" applyFont="1" applyFill="1" applyBorder="1" applyAlignment="1">
      <alignment horizontal="center" vertical="center" wrapText="1"/>
    </xf>
    <xf numFmtId="0" fontId="31" fillId="7" borderId="13" xfId="0" applyFont="1" applyFill="1" applyBorder="1" applyAlignment="1">
      <alignment horizontal="center" vertical="center" wrapText="1"/>
    </xf>
    <xf numFmtId="0" fontId="33" fillId="3" borderId="13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4" fillId="4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top" wrapText="1"/>
    </xf>
    <xf numFmtId="0" fontId="8" fillId="7" borderId="1" xfId="0" applyFont="1" applyFill="1" applyBorder="1" applyAlignment="1">
      <alignment horizontal="center" vertical="top" wrapText="1"/>
    </xf>
    <xf numFmtId="0" fontId="5" fillId="5" borderId="1" xfId="0" applyFont="1" applyFill="1" applyBorder="1" applyAlignment="1">
      <alignment horizontal="center" vertical="top" wrapText="1"/>
    </xf>
    <xf numFmtId="0" fontId="14" fillId="10" borderId="1" xfId="0" applyFont="1" applyFill="1" applyBorder="1" applyAlignment="1">
      <alignment horizontal="center" vertical="top" wrapText="1"/>
    </xf>
    <xf numFmtId="0" fontId="3" fillId="10" borderId="1" xfId="0" applyFont="1" applyFill="1" applyBorder="1" applyAlignment="1">
      <alignment horizontal="left" vertical="top" wrapText="1"/>
    </xf>
    <xf numFmtId="0" fontId="3" fillId="10" borderId="1" xfId="0" applyFont="1" applyFill="1" applyBorder="1" applyAlignment="1">
      <alignment horizontal="center" vertical="top" wrapText="1"/>
    </xf>
    <xf numFmtId="0" fontId="7" fillId="6" borderId="1" xfId="0" applyFont="1" applyFill="1" applyBorder="1" applyAlignment="1">
      <alignment horizontal="center" vertical="top" wrapText="1"/>
    </xf>
    <xf numFmtId="0" fontId="9" fillId="8" borderId="1" xfId="0" applyFont="1" applyFill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16" fillId="5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18" borderId="0" xfId="0" applyFill="1" applyAlignment="1">
      <alignment wrapText="1"/>
    </xf>
    <xf numFmtId="9" fontId="5" fillId="5" borderId="16" xfId="0" applyNumberFormat="1" applyFont="1" applyFill="1" applyBorder="1" applyAlignment="1">
      <alignment horizontal="center" vertical="center" wrapText="1"/>
    </xf>
    <xf numFmtId="9" fontId="5" fillId="5" borderId="5" xfId="0" applyNumberFormat="1" applyFont="1" applyFill="1" applyBorder="1" applyAlignment="1">
      <alignment horizontal="center" vertical="center" wrapText="1"/>
    </xf>
    <xf numFmtId="9" fontId="0" fillId="0" borderId="0" xfId="0" applyNumberFormat="1" applyAlignment="1">
      <alignment wrapText="1"/>
    </xf>
    <xf numFmtId="0" fontId="22" fillId="8" borderId="1" xfId="0" applyFont="1" applyFill="1" applyBorder="1" applyAlignment="1">
      <alignment horizontal="center" vertical="center" wrapText="1"/>
    </xf>
    <xf numFmtId="0" fontId="24" fillId="17" borderId="1" xfId="0" applyFont="1" applyFill="1" applyBorder="1" applyAlignment="1">
      <alignment horizontal="center" vertical="center" wrapText="1"/>
    </xf>
    <xf numFmtId="0" fontId="26" fillId="6" borderId="1" xfId="0" applyFont="1" applyFill="1" applyBorder="1" applyAlignment="1">
      <alignment horizontal="center" vertical="center" wrapText="1"/>
    </xf>
    <xf numFmtId="0" fontId="28" fillId="5" borderId="1" xfId="0" applyFont="1" applyFill="1" applyBorder="1" applyAlignment="1">
      <alignment horizontal="center" vertical="center" wrapText="1"/>
    </xf>
    <xf numFmtId="0" fontId="30" fillId="9" borderId="1" xfId="0" applyFont="1" applyFill="1" applyBorder="1" applyAlignment="1">
      <alignment horizontal="center" vertical="center" wrapText="1"/>
    </xf>
    <xf numFmtId="0" fontId="32" fillId="7" borderId="1" xfId="0" applyFont="1" applyFill="1" applyBorder="1" applyAlignment="1">
      <alignment horizontal="center" vertical="center" wrapText="1"/>
    </xf>
    <xf numFmtId="0" fontId="34" fillId="3" borderId="1" xfId="0" applyFont="1" applyFill="1" applyBorder="1" applyAlignment="1">
      <alignment horizontal="center" vertical="center" wrapText="1"/>
    </xf>
    <xf numFmtId="0" fontId="13" fillId="16" borderId="17" xfId="0" applyFont="1" applyFill="1" applyBorder="1" applyAlignment="1">
      <alignment horizontal="center" vertical="center" wrapText="1"/>
    </xf>
    <xf numFmtId="0" fontId="13" fillId="18" borderId="18" xfId="0" applyFont="1" applyFill="1" applyBorder="1" applyAlignment="1">
      <alignment horizontal="center" vertical="top" wrapText="1"/>
    </xf>
    <xf numFmtId="0" fontId="13" fillId="18" borderId="19" xfId="0" applyFont="1" applyFill="1" applyBorder="1" applyAlignment="1">
      <alignment horizontal="center" vertical="top" wrapText="1"/>
    </xf>
    <xf numFmtId="0" fontId="13" fillId="18" borderId="11" xfId="0" applyFont="1" applyFill="1" applyBorder="1" applyAlignment="1">
      <alignment horizontal="center" vertical="top" wrapText="1"/>
    </xf>
    <xf numFmtId="0" fontId="13" fillId="18" borderId="10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40" fillId="17" borderId="1" xfId="0" applyFont="1" applyFill="1" applyBorder="1" applyAlignment="1">
      <alignment horizontal="center" vertical="top" wrapText="1"/>
    </xf>
    <xf numFmtId="0" fontId="3" fillId="19" borderId="1" xfId="0" applyFont="1" applyFill="1" applyBorder="1" applyAlignment="1">
      <alignment horizontal="left" vertical="center" wrapText="1"/>
    </xf>
    <xf numFmtId="0" fontId="0" fillId="19" borderId="0" xfId="0" applyFill="1"/>
    <xf numFmtId="0" fontId="3" fillId="4" borderId="1" xfId="0" applyFont="1" applyFill="1" applyBorder="1" applyAlignment="1">
      <alignment horizontal="left" vertical="center" wrapText="1"/>
    </xf>
    <xf numFmtId="0" fontId="0" fillId="0" borderId="0" xfId="0"/>
    <xf numFmtId="0" fontId="6" fillId="4" borderId="1" xfId="0" applyFont="1" applyFill="1" applyBorder="1" applyAlignment="1">
      <alignment horizontal="left" vertical="center"/>
    </xf>
    <xf numFmtId="0" fontId="1" fillId="18" borderId="0" xfId="0" applyFont="1" applyFill="1" applyAlignment="1">
      <alignment horizontal="center" vertical="center"/>
    </xf>
    <xf numFmtId="0" fontId="0" fillId="18" borderId="0" xfId="0" applyFill="1"/>
    <xf numFmtId="0" fontId="2" fillId="3" borderId="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left" vertical="center"/>
    </xf>
    <xf numFmtId="0" fontId="41" fillId="19" borderId="2" xfId="0" applyFont="1" applyFill="1" applyBorder="1" applyAlignment="1">
      <alignment horizontal="left" vertical="center"/>
    </xf>
    <xf numFmtId="0" fontId="42" fillId="19" borderId="0" xfId="0" applyFont="1" applyFill="1"/>
    <xf numFmtId="0" fontId="8" fillId="7" borderId="1" xfId="0" applyFont="1" applyFill="1" applyBorder="1" applyAlignment="1">
      <alignment horizontal="left" vertical="center"/>
    </xf>
    <xf numFmtId="0" fontId="43" fillId="19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/>
    </xf>
    <xf numFmtId="0" fontId="13" fillId="11" borderId="2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3" fillId="13" borderId="23" xfId="0" applyFont="1" applyFill="1" applyBorder="1" applyAlignment="1">
      <alignment horizontal="center" vertical="center" wrapText="1"/>
    </xf>
    <xf numFmtId="0" fontId="13" fillId="12" borderId="22" xfId="0" applyFont="1" applyFill="1" applyBorder="1" applyAlignment="1">
      <alignment horizontal="center" vertical="center" wrapText="1"/>
    </xf>
    <xf numFmtId="0" fontId="13" fillId="15" borderId="25" xfId="0" applyFont="1" applyFill="1" applyBorder="1" applyAlignment="1">
      <alignment horizontal="center" vertical="center" wrapText="1"/>
    </xf>
    <xf numFmtId="0" fontId="12" fillId="18" borderId="0" xfId="0" applyFont="1" applyFill="1" applyAlignment="1">
      <alignment horizontal="center" vertical="center" wrapText="1"/>
    </xf>
    <xf numFmtId="0" fontId="0" fillId="18" borderId="0" xfId="0" applyFill="1" applyAlignment="1">
      <alignment wrapText="1"/>
    </xf>
    <xf numFmtId="0" fontId="13" fillId="14" borderId="24" xfId="0" applyFont="1" applyFill="1" applyBorder="1" applyAlignment="1">
      <alignment horizontal="center" vertical="center" wrapText="1"/>
    </xf>
    <xf numFmtId="0" fontId="13" fillId="18" borderId="20" xfId="0" applyFont="1" applyFill="1" applyBorder="1" applyAlignment="1">
      <alignment horizontal="center" vertical="center" wrapText="1"/>
    </xf>
    <xf numFmtId="0" fontId="15" fillId="14" borderId="5" xfId="0" applyFont="1" applyFill="1" applyBorder="1" applyAlignment="1">
      <alignment horizontal="center" vertical="center" wrapText="1"/>
    </xf>
    <xf numFmtId="0" fontId="15" fillId="11" borderId="3" xfId="0" applyFont="1" applyFill="1" applyBorder="1" applyAlignment="1">
      <alignment horizontal="center" vertical="center" wrapText="1"/>
    </xf>
    <xf numFmtId="0" fontId="13" fillId="18" borderId="0" xfId="0" applyFont="1" applyFill="1" applyAlignment="1">
      <alignment horizontal="center" vertical="center" wrapText="1"/>
    </xf>
    <xf numFmtId="0" fontId="15" fillId="13" borderId="4" xfId="0" applyFont="1" applyFill="1" applyBorder="1" applyAlignment="1">
      <alignment horizontal="center" vertical="center" wrapText="1"/>
    </xf>
    <xf numFmtId="0" fontId="20" fillId="18" borderId="0" xfId="0" applyFont="1" applyFill="1" applyAlignment="1">
      <alignment horizontal="center" vertical="center" wrapText="1"/>
    </xf>
    <xf numFmtId="0" fontId="19" fillId="14" borderId="16" xfId="0" applyFont="1" applyFill="1" applyBorder="1" applyAlignment="1">
      <alignment horizontal="center" vertical="center" wrapText="1"/>
    </xf>
    <xf numFmtId="0" fontId="19" fillId="11" borderId="3" xfId="0" applyFont="1" applyFill="1" applyBorder="1" applyAlignment="1">
      <alignment horizontal="center" vertical="center" wrapText="1"/>
    </xf>
    <xf numFmtId="0" fontId="36" fillId="6" borderId="1" xfId="0" applyFont="1" applyFill="1" applyBorder="1" applyAlignment="1">
      <alignment horizontal="center" vertical="center" wrapText="1"/>
    </xf>
    <xf numFmtId="0" fontId="37" fillId="8" borderId="1" xfId="0" applyFont="1" applyFill="1" applyBorder="1" applyAlignment="1">
      <alignment horizontal="center" vertical="center" wrapText="1"/>
    </xf>
    <xf numFmtId="0" fontId="39" fillId="19" borderId="0" xfId="0" applyFont="1" applyFill="1" applyAlignment="1">
      <alignment horizontal="left" vertical="center" wrapText="1"/>
    </xf>
    <xf numFmtId="0" fontId="0" fillId="19" borderId="0" xfId="0" applyFill="1" applyAlignment="1">
      <alignment wrapText="1"/>
    </xf>
    <xf numFmtId="0" fontId="18" fillId="14" borderId="16" xfId="0" applyFont="1" applyFill="1" applyBorder="1" applyAlignment="1">
      <alignment horizontal="center" vertical="center" wrapText="1"/>
    </xf>
    <xf numFmtId="0" fontId="18" fillId="11" borderId="3" xfId="0" applyFont="1" applyFill="1" applyBorder="1" applyAlignment="1">
      <alignment horizontal="center" vertical="center" wrapText="1"/>
    </xf>
    <xf numFmtId="0" fontId="9" fillId="8" borderId="13" xfId="0" applyFont="1" applyFill="1" applyBorder="1" applyAlignment="1">
      <alignment horizontal="center" vertical="center" wrapText="1"/>
    </xf>
    <xf numFmtId="0" fontId="0" fillId="16" borderId="8" xfId="0" applyFill="1" applyBorder="1" applyAlignment="1">
      <alignment wrapText="1"/>
    </xf>
    <xf numFmtId="0" fontId="11" fillId="3" borderId="13" xfId="0" applyFont="1" applyFill="1" applyBorder="1" applyAlignment="1">
      <alignment horizontal="center" vertical="center" wrapText="1"/>
    </xf>
    <xf numFmtId="0" fontId="35" fillId="7" borderId="1" xfId="0" applyFont="1" applyFill="1" applyBorder="1" applyAlignment="1">
      <alignment horizontal="center" vertical="center" wrapText="1"/>
    </xf>
    <xf numFmtId="0" fontId="38" fillId="3" borderId="1" xfId="0" applyFont="1" applyFill="1" applyBorder="1" applyAlignment="1">
      <alignment horizontal="center" vertical="center" wrapText="1"/>
    </xf>
    <xf numFmtId="0" fontId="8" fillId="7" borderId="13" xfId="0" applyFont="1" applyFill="1" applyBorder="1" applyAlignment="1">
      <alignment horizontal="center" vertical="center" wrapText="1"/>
    </xf>
    <xf numFmtId="0" fontId="7" fillId="6" borderId="13" xfId="0" applyFont="1" applyFill="1" applyBorder="1" applyAlignment="1">
      <alignment horizontal="center" vertical="center" wrapText="1"/>
    </xf>
    <xf numFmtId="0" fontId="0" fillId="14" borderId="16" xfId="0" applyFill="1" applyBorder="1" applyAlignment="1">
      <alignment wrapText="1"/>
    </xf>
    <xf numFmtId="0" fontId="0" fillId="11" borderId="3" xfId="0" applyFill="1" applyBorder="1" applyAlignment="1">
      <alignment wrapText="1"/>
    </xf>
    <xf numFmtId="0" fontId="19" fillId="18" borderId="0" xfId="0" applyFont="1" applyFill="1" applyAlignment="1">
      <alignment horizontal="center" vertical="center" wrapText="1"/>
    </xf>
    <xf numFmtId="0" fontId="19" fillId="16" borderId="8" xfId="0" applyFont="1" applyFill="1" applyBorder="1" applyAlignment="1">
      <alignment horizontal="center" vertical="center" wrapText="1"/>
    </xf>
    <xf numFmtId="164" fontId="19" fillId="15" borderId="6" xfId="0" applyNumberFormat="1" applyFont="1" applyFill="1" applyBorder="1" applyAlignment="1">
      <alignment horizontal="center" vertical="center" wrapText="1"/>
    </xf>
    <xf numFmtId="0" fontId="18" fillId="18" borderId="0" xfId="0" applyFont="1" applyFill="1" applyAlignment="1">
      <alignment horizontal="center" vertical="center" wrapText="1"/>
    </xf>
    <xf numFmtId="0" fontId="18" fillId="16" borderId="8" xfId="0" applyFont="1" applyFill="1" applyBorder="1" applyAlignment="1">
      <alignment horizontal="center" vertical="center" wrapText="1"/>
    </xf>
    <xf numFmtId="0" fontId="18" fillId="15" borderId="6" xfId="0" applyFont="1" applyFill="1" applyBorder="1" applyAlignment="1">
      <alignment horizontal="center" vertical="center" wrapText="1"/>
    </xf>
    <xf numFmtId="0" fontId="17" fillId="19" borderId="0" xfId="0" applyFont="1" applyFill="1" applyAlignment="1">
      <alignment horizontal="center" vertical="center" wrapText="1"/>
    </xf>
    <xf numFmtId="0" fontId="0" fillId="15" borderId="6" xfId="0" applyFill="1" applyBorder="1" applyAlignment="1">
      <alignment wrapText="1"/>
    </xf>
    <xf numFmtId="0" fontId="12" fillId="18" borderId="9" xfId="0" applyFont="1" applyFill="1" applyBorder="1" applyAlignment="1">
      <alignment horizontal="center" vertical="center" wrapText="1"/>
    </xf>
    <xf numFmtId="0" fontId="0" fillId="18" borderId="9" xfId="0" applyFill="1" applyBorder="1" applyAlignment="1">
      <alignment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1-UPB">
  <a:themeElements>
    <a:clrScheme name="UPB">
      <a:dk1>
        <a:srgbClr val="000000"/>
      </a:dk1>
      <a:lt1>
        <a:srgbClr val="FFFFFF"/>
      </a:lt1>
      <a:dk2>
        <a:srgbClr val="000087"/>
      </a:dk2>
      <a:lt2>
        <a:srgbClr val="5882F8"/>
      </a:lt2>
      <a:accent1>
        <a:srgbClr val="D0EB00"/>
      </a:accent1>
      <a:accent2>
        <a:srgbClr val="AD3DFF"/>
      </a:accent2>
      <a:accent3>
        <a:srgbClr val="DF7D00"/>
      </a:accent3>
      <a:accent4>
        <a:srgbClr val="FFCD28"/>
      </a:accent4>
      <a:accent5>
        <a:srgbClr val="E50213"/>
      </a:accent5>
      <a:accent6>
        <a:srgbClr val="7CA7AD"/>
      </a:accent6>
      <a:hlink>
        <a:srgbClr val="000087"/>
      </a:hlink>
      <a:folHlink>
        <a:srgbClr val="FFCD28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UPB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showGridLines="0" workbookViewId="0">
      <selection sqref="A1:H1"/>
    </sheetView>
  </sheetViews>
  <sheetFormatPr baseColWidth="10" defaultColWidth="8.875" defaultRowHeight="15" x14ac:dyDescent="0.25"/>
  <cols>
    <col min="1" max="2" width="26" customWidth="1"/>
    <col min="3" max="4" width="30" customWidth="1"/>
    <col min="5" max="8" width="20" customWidth="1"/>
  </cols>
  <sheetData>
    <row r="1" spans="1:8" ht="60" customHeight="1" x14ac:dyDescent="0.25">
      <c r="A1" s="73" t="s">
        <v>0</v>
      </c>
      <c r="B1" s="74"/>
      <c r="C1" s="74"/>
      <c r="D1" s="74"/>
      <c r="E1" s="74"/>
      <c r="F1" s="74"/>
      <c r="G1" s="74"/>
      <c r="H1" s="74"/>
    </row>
    <row r="2" spans="1:8" ht="24" customHeight="1" x14ac:dyDescent="0.25">
      <c r="A2" s="82" t="s">
        <v>1</v>
      </c>
      <c r="B2" s="80"/>
      <c r="C2" s="80"/>
      <c r="D2" s="80"/>
      <c r="E2" s="80"/>
      <c r="F2" s="80"/>
      <c r="G2" s="80"/>
      <c r="H2" s="80"/>
    </row>
    <row r="3" spans="1:8" ht="6" customHeight="1" x14ac:dyDescent="0.25"/>
    <row r="4" spans="1:8" x14ac:dyDescent="0.25">
      <c r="A4" s="83" t="s">
        <v>2</v>
      </c>
      <c r="B4" s="71"/>
      <c r="C4" s="71"/>
      <c r="D4" s="71"/>
      <c r="E4" s="71"/>
      <c r="F4" s="71"/>
      <c r="G4" s="71"/>
      <c r="H4" s="71"/>
    </row>
    <row r="5" spans="1:8" x14ac:dyDescent="0.25">
      <c r="A5" s="70" t="s">
        <v>3</v>
      </c>
      <c r="B5" s="71"/>
      <c r="C5" s="71"/>
      <c r="D5" s="71"/>
      <c r="E5" s="71"/>
      <c r="F5" s="71"/>
      <c r="G5" s="71"/>
      <c r="H5" s="71"/>
    </row>
    <row r="6" spans="1:8" x14ac:dyDescent="0.25">
      <c r="A6" s="71"/>
      <c r="B6" s="71"/>
      <c r="C6" s="71"/>
      <c r="D6" s="71"/>
      <c r="E6" s="71"/>
      <c r="F6" s="71"/>
      <c r="G6" s="71"/>
      <c r="H6" s="71"/>
    </row>
    <row r="7" spans="1:8" x14ac:dyDescent="0.25">
      <c r="A7" s="71"/>
      <c r="B7" s="71"/>
      <c r="C7" s="71"/>
      <c r="D7" s="71"/>
      <c r="E7" s="71"/>
      <c r="F7" s="71"/>
      <c r="G7" s="71"/>
      <c r="H7" s="71"/>
    </row>
    <row r="8" spans="1:8" x14ac:dyDescent="0.25">
      <c r="A8" s="71"/>
      <c r="B8" s="71"/>
      <c r="C8" s="71"/>
      <c r="D8" s="71"/>
      <c r="E8" s="71"/>
      <c r="F8" s="71"/>
      <c r="G8" s="71"/>
      <c r="H8" s="71"/>
    </row>
    <row r="9" spans="1:8" x14ac:dyDescent="0.25">
      <c r="A9" s="83" t="s">
        <v>4</v>
      </c>
      <c r="B9" s="71"/>
      <c r="C9" s="71"/>
      <c r="D9" s="71"/>
      <c r="E9" s="71"/>
      <c r="F9" s="71"/>
      <c r="G9" s="71"/>
      <c r="H9" s="71"/>
    </row>
    <row r="10" spans="1:8" ht="21.95" customHeight="1" x14ac:dyDescent="0.25">
      <c r="A10" s="79" t="s">
        <v>5</v>
      </c>
      <c r="B10" s="80"/>
      <c r="C10" s="70" t="s">
        <v>6</v>
      </c>
      <c r="D10" s="71"/>
      <c r="E10" s="71"/>
      <c r="F10" s="71"/>
      <c r="G10" s="71"/>
      <c r="H10" s="71"/>
    </row>
    <row r="11" spans="1:8" ht="21.95" customHeight="1" x14ac:dyDescent="0.25">
      <c r="A11" s="79" t="s">
        <v>7</v>
      </c>
      <c r="B11" s="80"/>
      <c r="C11" s="70" t="s">
        <v>8</v>
      </c>
      <c r="D11" s="71"/>
      <c r="E11" s="71"/>
      <c r="F11" s="71"/>
      <c r="G11" s="71"/>
      <c r="H11" s="71"/>
    </row>
    <row r="12" spans="1:8" ht="21.95" customHeight="1" x14ac:dyDescent="0.25">
      <c r="A12" s="79" t="s">
        <v>9</v>
      </c>
      <c r="B12" s="80"/>
      <c r="C12" s="70" t="s">
        <v>10</v>
      </c>
      <c r="D12" s="71"/>
      <c r="E12" s="71"/>
      <c r="F12" s="71"/>
      <c r="G12" s="71"/>
      <c r="H12" s="71"/>
    </row>
    <row r="13" spans="1:8" ht="21.95" customHeight="1" x14ac:dyDescent="0.25">
      <c r="A13" s="79" t="s">
        <v>11</v>
      </c>
      <c r="B13" s="80"/>
      <c r="C13" s="70" t="s">
        <v>12</v>
      </c>
      <c r="D13" s="71"/>
      <c r="E13" s="71"/>
      <c r="F13" s="71"/>
      <c r="G13" s="71"/>
      <c r="H13" s="71"/>
    </row>
    <row r="14" spans="1:8" ht="21.95" customHeight="1" x14ac:dyDescent="0.25">
      <c r="A14" s="79" t="s">
        <v>13</v>
      </c>
      <c r="B14" s="80"/>
      <c r="C14" s="70" t="s">
        <v>14</v>
      </c>
      <c r="D14" s="71"/>
      <c r="E14" s="71"/>
      <c r="F14" s="71"/>
      <c r="G14" s="71"/>
      <c r="H14" s="71"/>
    </row>
    <row r="15" spans="1:8" ht="8.1" customHeight="1" x14ac:dyDescent="0.25"/>
    <row r="16" spans="1:8" x14ac:dyDescent="0.25">
      <c r="A16" s="75" t="s">
        <v>15</v>
      </c>
      <c r="B16" s="71"/>
      <c r="C16" s="71"/>
      <c r="D16" s="71"/>
      <c r="E16" s="71"/>
      <c r="F16" s="71"/>
      <c r="G16" s="71"/>
      <c r="H16" s="71"/>
    </row>
    <row r="17" spans="1:8" ht="20.100000000000001" customHeight="1" x14ac:dyDescent="0.25">
      <c r="A17" s="77" t="s">
        <v>16</v>
      </c>
      <c r="B17" s="71"/>
      <c r="C17" s="71"/>
      <c r="D17" s="72" t="s">
        <v>17</v>
      </c>
      <c r="E17" s="71"/>
      <c r="F17" s="71"/>
      <c r="G17" s="71"/>
      <c r="H17" s="71"/>
    </row>
    <row r="18" spans="1:8" ht="20.100000000000001" customHeight="1" x14ac:dyDescent="0.25">
      <c r="A18" s="84" t="s">
        <v>18</v>
      </c>
      <c r="B18" s="71"/>
      <c r="C18" s="71"/>
      <c r="D18" s="72" t="s">
        <v>19</v>
      </c>
      <c r="E18" s="71"/>
      <c r="F18" s="71"/>
      <c r="G18" s="71"/>
      <c r="H18" s="71"/>
    </row>
    <row r="19" spans="1:8" ht="20.100000000000001" customHeight="1" x14ac:dyDescent="0.25">
      <c r="A19" s="81" t="s">
        <v>20</v>
      </c>
      <c r="B19" s="71"/>
      <c r="C19" s="71"/>
      <c r="D19" s="72" t="s">
        <v>21</v>
      </c>
      <c r="E19" s="71"/>
      <c r="F19" s="71"/>
      <c r="G19" s="71"/>
      <c r="H19" s="71"/>
    </row>
    <row r="20" spans="1:8" ht="20.100000000000001" customHeight="1" x14ac:dyDescent="0.25">
      <c r="A20" s="78" t="s">
        <v>22</v>
      </c>
      <c r="B20" s="71"/>
      <c r="C20" s="71"/>
      <c r="D20" s="72" t="s">
        <v>23</v>
      </c>
      <c r="E20" s="71"/>
      <c r="F20" s="71"/>
      <c r="G20" s="71"/>
      <c r="H20" s="71"/>
    </row>
    <row r="21" spans="1:8" ht="20.100000000000001" customHeight="1" x14ac:dyDescent="0.25">
      <c r="A21" s="85" t="s">
        <v>24</v>
      </c>
      <c r="B21" s="71"/>
      <c r="C21" s="71"/>
      <c r="D21" s="72" t="s">
        <v>25</v>
      </c>
      <c r="E21" s="71"/>
      <c r="F21" s="71"/>
      <c r="G21" s="71"/>
      <c r="H21" s="71"/>
    </row>
    <row r="22" spans="1:8" ht="20.100000000000001" customHeight="1" x14ac:dyDescent="0.25">
      <c r="A22" s="76" t="s">
        <v>26</v>
      </c>
      <c r="B22" s="71"/>
      <c r="C22" s="71"/>
      <c r="D22" s="72" t="s">
        <v>27</v>
      </c>
      <c r="E22" s="71"/>
      <c r="F22" s="71"/>
      <c r="G22" s="71"/>
      <c r="H22" s="71"/>
    </row>
    <row r="23" spans="1:8" ht="8.1" customHeight="1" x14ac:dyDescent="0.25"/>
    <row r="24" spans="1:8" x14ac:dyDescent="0.25">
      <c r="A24" s="75" t="s">
        <v>28</v>
      </c>
      <c r="B24" s="71"/>
      <c r="C24" s="71"/>
      <c r="D24" s="71"/>
      <c r="E24" s="71"/>
      <c r="F24" s="71"/>
      <c r="G24" s="71"/>
      <c r="H24" s="71"/>
    </row>
    <row r="25" spans="1:8" ht="20.100000000000001" customHeight="1" x14ac:dyDescent="0.25">
      <c r="A25" s="68" t="s">
        <v>29</v>
      </c>
      <c r="B25" s="69"/>
      <c r="C25" s="69"/>
      <c r="D25" s="69"/>
      <c r="E25" s="69"/>
      <c r="F25" s="69"/>
      <c r="G25" s="69"/>
      <c r="H25" s="69"/>
    </row>
    <row r="26" spans="1:8" ht="20.100000000000001" customHeight="1" x14ac:dyDescent="0.25">
      <c r="A26" s="70" t="s">
        <v>30</v>
      </c>
      <c r="B26" s="71"/>
      <c r="C26" s="71"/>
      <c r="D26" s="71"/>
      <c r="E26" s="71"/>
      <c r="F26" s="71"/>
      <c r="G26" s="71"/>
      <c r="H26" s="71"/>
    </row>
    <row r="27" spans="1:8" ht="20.100000000000001" customHeight="1" x14ac:dyDescent="0.25">
      <c r="A27" s="68" t="s">
        <v>31</v>
      </c>
      <c r="B27" s="69"/>
      <c r="C27" s="69"/>
      <c r="D27" s="69"/>
      <c r="E27" s="69"/>
      <c r="F27" s="69"/>
      <c r="G27" s="69"/>
      <c r="H27" s="69"/>
    </row>
    <row r="28" spans="1:8" ht="20.100000000000001" customHeight="1" x14ac:dyDescent="0.25">
      <c r="A28" s="70" t="s">
        <v>32</v>
      </c>
      <c r="B28" s="71"/>
      <c r="C28" s="71"/>
      <c r="D28" s="71"/>
      <c r="E28" s="71"/>
      <c r="F28" s="71"/>
      <c r="G28" s="71"/>
      <c r="H28" s="71"/>
    </row>
    <row r="29" spans="1:8" ht="20.100000000000001" customHeight="1" x14ac:dyDescent="0.25">
      <c r="A29" s="68" t="s">
        <v>33</v>
      </c>
      <c r="B29" s="69"/>
      <c r="C29" s="69"/>
      <c r="D29" s="69"/>
      <c r="E29" s="69"/>
      <c r="F29" s="69"/>
      <c r="G29" s="69"/>
      <c r="H29" s="69"/>
    </row>
    <row r="30" spans="1:8" ht="20.100000000000001" customHeight="1" x14ac:dyDescent="0.25">
      <c r="A30" s="70" t="s">
        <v>34</v>
      </c>
      <c r="B30" s="71"/>
      <c r="C30" s="71"/>
      <c r="D30" s="71"/>
      <c r="E30" s="71"/>
      <c r="F30" s="71"/>
      <c r="G30" s="71"/>
      <c r="H30" s="71"/>
    </row>
    <row r="31" spans="1:8" ht="20.100000000000001" customHeight="1" x14ac:dyDescent="0.25">
      <c r="A31" s="68" t="s">
        <v>35</v>
      </c>
      <c r="B31" s="69"/>
      <c r="C31" s="69"/>
      <c r="D31" s="69"/>
      <c r="E31" s="69"/>
      <c r="F31" s="69"/>
      <c r="G31" s="69"/>
      <c r="H31" s="69"/>
    </row>
  </sheetData>
  <mergeCells count="36">
    <mergeCell ref="A11:B11"/>
    <mergeCell ref="D19:H19"/>
    <mergeCell ref="A18:C18"/>
    <mergeCell ref="A21:C21"/>
    <mergeCell ref="A19:C19"/>
    <mergeCell ref="C13:H13"/>
    <mergeCell ref="A2:H2"/>
    <mergeCell ref="A14:B14"/>
    <mergeCell ref="A31:H31"/>
    <mergeCell ref="A4:H4"/>
    <mergeCell ref="A29:H29"/>
    <mergeCell ref="C14:H14"/>
    <mergeCell ref="A10:B10"/>
    <mergeCell ref="A28:H28"/>
    <mergeCell ref="A13:B13"/>
    <mergeCell ref="A9:H9"/>
    <mergeCell ref="C10:H10"/>
    <mergeCell ref="A30:H30"/>
    <mergeCell ref="D20:H20"/>
    <mergeCell ref="A24:H24"/>
    <mergeCell ref="A25:H25"/>
    <mergeCell ref="A27:H27"/>
    <mergeCell ref="A26:H26"/>
    <mergeCell ref="D18:H18"/>
    <mergeCell ref="A1:H1"/>
    <mergeCell ref="C12:H12"/>
    <mergeCell ref="D22:H22"/>
    <mergeCell ref="C11:H11"/>
    <mergeCell ref="D21:H21"/>
    <mergeCell ref="A16:H16"/>
    <mergeCell ref="A22:C22"/>
    <mergeCell ref="A17:C17"/>
    <mergeCell ref="A5:H8"/>
    <mergeCell ref="A20:C20"/>
    <mergeCell ref="D17:H17"/>
    <mergeCell ref="A12:B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"/>
  <sheetViews>
    <sheetView showGridLines="0" workbookViewId="0">
      <selection sqref="A1:R1"/>
    </sheetView>
  </sheetViews>
  <sheetFormatPr baseColWidth="10" defaultColWidth="8.875" defaultRowHeight="15" x14ac:dyDescent="0.25"/>
  <cols>
    <col min="1" max="1" width="12" customWidth="1"/>
    <col min="2" max="2" width="28" customWidth="1"/>
    <col min="3" max="3" width="12" customWidth="1"/>
    <col min="4" max="4" width="14" customWidth="1"/>
    <col min="5" max="5" width="18" customWidth="1"/>
    <col min="6" max="6" width="12" customWidth="1"/>
    <col min="7" max="7" width="10" customWidth="1"/>
    <col min="8" max="8" width="30" customWidth="1"/>
    <col min="9" max="9" width="16" customWidth="1"/>
    <col min="10" max="10" width="14" customWidth="1"/>
    <col min="11" max="11" width="18" customWidth="1"/>
    <col min="12" max="14" width="14" customWidth="1"/>
    <col min="15" max="15" width="16" customWidth="1"/>
    <col min="16" max="16" width="12" customWidth="1"/>
    <col min="17" max="17" width="14" customWidth="1"/>
    <col min="18" max="18" width="30" customWidth="1"/>
  </cols>
  <sheetData>
    <row r="1" spans="1:26" ht="36" customHeight="1" x14ac:dyDescent="0.25">
      <c r="A1" s="91" t="s">
        <v>36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36"/>
      <c r="T1" s="36"/>
      <c r="U1" s="36"/>
      <c r="V1" s="36"/>
      <c r="W1" s="36"/>
      <c r="X1" s="36"/>
      <c r="Y1" s="36"/>
      <c r="Z1" s="36"/>
    </row>
    <row r="2" spans="1:26" ht="36" customHeight="1" x14ac:dyDescent="0.25">
      <c r="A2" s="94" t="s">
        <v>37</v>
      </c>
      <c r="B2" s="92"/>
      <c r="C2" s="92"/>
      <c r="D2" s="86" t="s">
        <v>38</v>
      </c>
      <c r="E2" s="87"/>
      <c r="F2" s="87"/>
      <c r="G2" s="89" t="s">
        <v>39</v>
      </c>
      <c r="H2" s="87"/>
      <c r="I2" s="88" t="s">
        <v>40</v>
      </c>
      <c r="J2" s="87"/>
      <c r="K2" s="87"/>
      <c r="L2" s="93" t="s">
        <v>41</v>
      </c>
      <c r="M2" s="87"/>
      <c r="N2" s="87"/>
      <c r="O2" s="90" t="s">
        <v>42</v>
      </c>
      <c r="P2" s="87"/>
      <c r="Q2" s="87"/>
      <c r="R2" s="87"/>
      <c r="S2" s="36"/>
      <c r="T2" s="36"/>
      <c r="U2" s="36"/>
      <c r="V2" s="36"/>
      <c r="W2" s="36"/>
      <c r="X2" s="36"/>
      <c r="Y2" s="36"/>
      <c r="Z2" s="36"/>
    </row>
    <row r="3" spans="1:26" ht="75" customHeight="1" x14ac:dyDescent="0.25">
      <c r="A3" s="19" t="s">
        <v>43</v>
      </c>
      <c r="B3" s="19" t="s">
        <v>44</v>
      </c>
      <c r="C3" s="19" t="s">
        <v>45</v>
      </c>
      <c r="D3" s="3" t="s">
        <v>46</v>
      </c>
      <c r="E3" s="3" t="s">
        <v>47</v>
      </c>
      <c r="F3" s="3" t="s">
        <v>48</v>
      </c>
      <c r="G3" s="4" t="s">
        <v>49</v>
      </c>
      <c r="H3" s="4" t="s">
        <v>50</v>
      </c>
      <c r="I3" s="5" t="s">
        <v>51</v>
      </c>
      <c r="J3" s="5" t="s">
        <v>52</v>
      </c>
      <c r="K3" s="5" t="s">
        <v>53</v>
      </c>
      <c r="L3" s="6" t="s">
        <v>54</v>
      </c>
      <c r="M3" s="6" t="s">
        <v>55</v>
      </c>
      <c r="N3" s="6" t="s">
        <v>56</v>
      </c>
      <c r="O3" s="7" t="s">
        <v>57</v>
      </c>
      <c r="P3" s="7" t="s">
        <v>58</v>
      </c>
      <c r="Q3" s="7" t="s">
        <v>59</v>
      </c>
      <c r="R3" s="7" t="s">
        <v>60</v>
      </c>
      <c r="S3" s="36"/>
      <c r="T3" s="36"/>
      <c r="U3" s="36"/>
      <c r="V3" s="36"/>
      <c r="W3" s="36"/>
      <c r="X3" s="36"/>
      <c r="Y3" s="36"/>
      <c r="Z3" s="36"/>
    </row>
    <row r="4" spans="1:26" ht="42" customHeight="1" x14ac:dyDescent="0.25">
      <c r="A4" s="37" t="s">
        <v>80</v>
      </c>
      <c r="B4" s="38" t="s">
        <v>81</v>
      </c>
      <c r="C4" s="39" t="s">
        <v>82</v>
      </c>
      <c r="D4" s="38" t="s">
        <v>83</v>
      </c>
      <c r="E4" s="38" t="s">
        <v>84</v>
      </c>
      <c r="F4" s="40" t="s">
        <v>85</v>
      </c>
      <c r="G4" s="39" t="s">
        <v>86</v>
      </c>
      <c r="H4" s="38" t="s">
        <v>87</v>
      </c>
      <c r="I4" s="38" t="s">
        <v>88</v>
      </c>
      <c r="J4" s="39" t="s">
        <v>89</v>
      </c>
      <c r="K4" s="38" t="s">
        <v>90</v>
      </c>
      <c r="L4" s="39" t="s">
        <v>91</v>
      </c>
      <c r="M4" s="41" t="s">
        <v>92</v>
      </c>
      <c r="N4" s="39" t="s">
        <v>93</v>
      </c>
      <c r="O4" s="41" t="s">
        <v>94</v>
      </c>
      <c r="P4" s="39"/>
      <c r="Q4" s="39" t="s">
        <v>95</v>
      </c>
      <c r="R4" s="38" t="s">
        <v>96</v>
      </c>
      <c r="S4" s="36"/>
      <c r="T4" s="36"/>
      <c r="U4" s="36"/>
      <c r="V4" s="36"/>
      <c r="W4" s="36"/>
      <c r="X4" s="36"/>
      <c r="Y4" s="36"/>
      <c r="Z4" s="36"/>
    </row>
    <row r="5" spans="1:26" ht="42" customHeight="1" x14ac:dyDescent="0.25">
      <c r="A5" s="42" t="s">
        <v>97</v>
      </c>
      <c r="B5" s="43" t="s">
        <v>98</v>
      </c>
      <c r="C5" s="44" t="s">
        <v>82</v>
      </c>
      <c r="D5" s="43" t="s">
        <v>83</v>
      </c>
      <c r="E5" s="43" t="s">
        <v>84</v>
      </c>
      <c r="F5" s="40" t="s">
        <v>85</v>
      </c>
      <c r="G5" s="44" t="s">
        <v>86</v>
      </c>
      <c r="H5" s="43" t="s">
        <v>99</v>
      </c>
      <c r="I5" s="43" t="s">
        <v>100</v>
      </c>
      <c r="J5" s="44" t="s">
        <v>89</v>
      </c>
      <c r="K5" s="43" t="s">
        <v>90</v>
      </c>
      <c r="L5" s="44" t="s">
        <v>101</v>
      </c>
      <c r="M5" s="41" t="s">
        <v>92</v>
      </c>
      <c r="N5" s="44" t="s">
        <v>93</v>
      </c>
      <c r="O5" s="41" t="s">
        <v>94</v>
      </c>
      <c r="P5" s="44"/>
      <c r="Q5" s="44" t="s">
        <v>95</v>
      </c>
      <c r="R5" s="43" t="s">
        <v>102</v>
      </c>
      <c r="S5" s="36"/>
      <c r="T5" s="36"/>
      <c r="U5" s="36"/>
      <c r="V5" s="36"/>
      <c r="W5" s="36"/>
      <c r="X5" s="36"/>
      <c r="Y5" s="36"/>
      <c r="Z5" s="36"/>
    </row>
    <row r="6" spans="1:26" ht="42" customHeight="1" x14ac:dyDescent="0.25">
      <c r="A6" s="37" t="s">
        <v>103</v>
      </c>
      <c r="B6" s="38" t="s">
        <v>104</v>
      </c>
      <c r="C6" s="39" t="s">
        <v>82</v>
      </c>
      <c r="D6" s="38" t="s">
        <v>83</v>
      </c>
      <c r="E6" s="38" t="s">
        <v>84</v>
      </c>
      <c r="F6" s="40" t="s">
        <v>85</v>
      </c>
      <c r="G6" s="39" t="s">
        <v>86</v>
      </c>
      <c r="H6" s="38" t="s">
        <v>105</v>
      </c>
      <c r="I6" s="38" t="s">
        <v>106</v>
      </c>
      <c r="J6" s="39" t="s">
        <v>89</v>
      </c>
      <c r="K6" s="38" t="s">
        <v>90</v>
      </c>
      <c r="L6" s="39" t="s">
        <v>107</v>
      </c>
      <c r="M6" s="41" t="s">
        <v>92</v>
      </c>
      <c r="N6" s="39" t="s">
        <v>93</v>
      </c>
      <c r="O6" s="41" t="s">
        <v>94</v>
      </c>
      <c r="P6" s="39"/>
      <c r="Q6" s="39" t="s">
        <v>95</v>
      </c>
      <c r="R6" s="38" t="s">
        <v>108</v>
      </c>
      <c r="S6" s="36"/>
      <c r="T6" s="36"/>
      <c r="U6" s="36"/>
      <c r="V6" s="36"/>
      <c r="W6" s="36"/>
      <c r="X6" s="36"/>
      <c r="Y6" s="36"/>
      <c r="Z6" s="36"/>
    </row>
    <row r="7" spans="1:26" ht="42" customHeight="1" x14ac:dyDescent="0.25">
      <c r="A7" s="42" t="s">
        <v>109</v>
      </c>
      <c r="B7" s="43" t="s">
        <v>110</v>
      </c>
      <c r="C7" s="44" t="s">
        <v>82</v>
      </c>
      <c r="D7" s="43" t="s">
        <v>111</v>
      </c>
      <c r="E7" s="43" t="s">
        <v>112</v>
      </c>
      <c r="F7" s="45" t="s">
        <v>85</v>
      </c>
      <c r="G7" s="44" t="s">
        <v>86</v>
      </c>
      <c r="H7" s="43" t="s">
        <v>113</v>
      </c>
      <c r="I7" s="43" t="s">
        <v>114</v>
      </c>
      <c r="J7" s="44" t="s">
        <v>89</v>
      </c>
      <c r="K7" s="43" t="s">
        <v>90</v>
      </c>
      <c r="L7" s="44" t="s">
        <v>107</v>
      </c>
      <c r="M7" s="41" t="s">
        <v>92</v>
      </c>
      <c r="N7" s="44" t="s">
        <v>93</v>
      </c>
      <c r="O7" s="41" t="s">
        <v>94</v>
      </c>
      <c r="P7" s="44"/>
      <c r="Q7" s="44" t="s">
        <v>95</v>
      </c>
      <c r="R7" s="43" t="s">
        <v>115</v>
      </c>
      <c r="S7" s="36"/>
      <c r="T7" s="36"/>
      <c r="U7" s="36"/>
      <c r="V7" s="36"/>
      <c r="W7" s="36"/>
      <c r="X7" s="36"/>
      <c r="Y7" s="36"/>
      <c r="Z7" s="36"/>
    </row>
    <row r="8" spans="1:26" ht="42" customHeight="1" x14ac:dyDescent="0.25">
      <c r="A8" s="37" t="s">
        <v>116</v>
      </c>
      <c r="B8" s="38" t="s">
        <v>117</v>
      </c>
      <c r="C8" s="39" t="s">
        <v>82</v>
      </c>
      <c r="D8" s="38" t="s">
        <v>118</v>
      </c>
      <c r="E8" s="38" t="s">
        <v>84</v>
      </c>
      <c r="F8" s="40" t="s">
        <v>119</v>
      </c>
      <c r="G8" s="39" t="s">
        <v>86</v>
      </c>
      <c r="H8" s="38" t="s">
        <v>120</v>
      </c>
      <c r="I8" s="38" t="s">
        <v>121</v>
      </c>
      <c r="J8" s="39" t="s">
        <v>89</v>
      </c>
      <c r="K8" s="38" t="s">
        <v>90</v>
      </c>
      <c r="L8" s="39" t="s">
        <v>122</v>
      </c>
      <c r="M8" s="41" t="s">
        <v>92</v>
      </c>
      <c r="N8" s="39" t="s">
        <v>93</v>
      </c>
      <c r="O8" s="41" t="s">
        <v>94</v>
      </c>
      <c r="P8" s="39"/>
      <c r="Q8" s="39" t="s">
        <v>95</v>
      </c>
      <c r="R8" s="38" t="s">
        <v>123</v>
      </c>
      <c r="S8" s="36"/>
      <c r="T8" s="36"/>
      <c r="U8" s="36"/>
      <c r="V8" s="36"/>
      <c r="W8" s="36"/>
      <c r="X8" s="36"/>
      <c r="Y8" s="36"/>
      <c r="Z8" s="36"/>
    </row>
    <row r="9" spans="1:26" ht="42" customHeight="1" x14ac:dyDescent="0.25">
      <c r="A9" s="42" t="s">
        <v>124</v>
      </c>
      <c r="B9" s="43" t="s">
        <v>125</v>
      </c>
      <c r="C9" s="44" t="s">
        <v>82</v>
      </c>
      <c r="D9" s="43" t="s">
        <v>126</v>
      </c>
      <c r="E9" s="43" t="s">
        <v>84</v>
      </c>
      <c r="F9" s="40" t="s">
        <v>85</v>
      </c>
      <c r="G9" s="44" t="s">
        <v>86</v>
      </c>
      <c r="H9" s="43" t="s">
        <v>127</v>
      </c>
      <c r="I9" s="43" t="s">
        <v>128</v>
      </c>
      <c r="J9" s="44" t="s">
        <v>89</v>
      </c>
      <c r="K9" s="43" t="s">
        <v>90</v>
      </c>
      <c r="L9" s="44" t="s">
        <v>129</v>
      </c>
      <c r="M9" s="41" t="s">
        <v>92</v>
      </c>
      <c r="N9" s="44" t="s">
        <v>93</v>
      </c>
      <c r="O9" s="41" t="s">
        <v>94</v>
      </c>
      <c r="P9" s="44"/>
      <c r="Q9" s="44" t="s">
        <v>95</v>
      </c>
      <c r="R9" s="43" t="s">
        <v>130</v>
      </c>
      <c r="S9" s="36"/>
      <c r="T9" s="36"/>
      <c r="U9" s="36"/>
      <c r="V9" s="36"/>
      <c r="W9" s="36"/>
      <c r="X9" s="36"/>
      <c r="Y9" s="36"/>
      <c r="Z9" s="36"/>
    </row>
    <row r="10" spans="1:26" ht="42" customHeight="1" x14ac:dyDescent="0.25">
      <c r="A10" s="37" t="s">
        <v>131</v>
      </c>
      <c r="B10" s="38" t="s">
        <v>132</v>
      </c>
      <c r="C10" s="39" t="s">
        <v>82</v>
      </c>
      <c r="D10" s="38" t="s">
        <v>126</v>
      </c>
      <c r="E10" s="38" t="s">
        <v>84</v>
      </c>
      <c r="F10" s="45" t="s">
        <v>85</v>
      </c>
      <c r="G10" s="39" t="s">
        <v>86</v>
      </c>
      <c r="H10" s="38" t="s">
        <v>133</v>
      </c>
      <c r="I10" s="38" t="s">
        <v>134</v>
      </c>
      <c r="J10" s="39" t="s">
        <v>89</v>
      </c>
      <c r="K10" s="38" t="s">
        <v>90</v>
      </c>
      <c r="L10" s="39" t="s">
        <v>129</v>
      </c>
      <c r="M10" s="41" t="s">
        <v>92</v>
      </c>
      <c r="N10" s="39" t="s">
        <v>93</v>
      </c>
      <c r="O10" s="41" t="s">
        <v>94</v>
      </c>
      <c r="P10" s="39"/>
      <c r="Q10" s="39" t="s">
        <v>95</v>
      </c>
      <c r="R10" s="38" t="s">
        <v>130</v>
      </c>
      <c r="S10" s="36"/>
      <c r="T10" s="36"/>
      <c r="U10" s="36"/>
      <c r="V10" s="36"/>
      <c r="W10" s="36"/>
      <c r="X10" s="36"/>
      <c r="Y10" s="36"/>
      <c r="Z10" s="36"/>
    </row>
    <row r="11" spans="1:26" ht="42" customHeight="1" x14ac:dyDescent="0.25">
      <c r="A11" s="42" t="s">
        <v>135</v>
      </c>
      <c r="B11" s="43" t="s">
        <v>136</v>
      </c>
      <c r="C11" s="44" t="s">
        <v>82</v>
      </c>
      <c r="D11" s="43" t="s">
        <v>126</v>
      </c>
      <c r="E11" s="43" t="s">
        <v>137</v>
      </c>
      <c r="F11" s="45" t="s">
        <v>119</v>
      </c>
      <c r="G11" s="44" t="s">
        <v>86</v>
      </c>
      <c r="H11" s="43" t="s">
        <v>138</v>
      </c>
      <c r="I11" s="43" t="s">
        <v>139</v>
      </c>
      <c r="J11" s="44" t="s">
        <v>89</v>
      </c>
      <c r="K11" s="43" t="s">
        <v>90</v>
      </c>
      <c r="L11" s="44" t="s">
        <v>129</v>
      </c>
      <c r="M11" s="40" t="s">
        <v>92</v>
      </c>
      <c r="N11" s="44" t="s">
        <v>93</v>
      </c>
      <c r="O11" s="45" t="s">
        <v>94</v>
      </c>
      <c r="P11" s="44"/>
      <c r="Q11" s="44" t="s">
        <v>95</v>
      </c>
      <c r="R11" s="43" t="s">
        <v>130</v>
      </c>
      <c r="S11" s="36"/>
      <c r="T11" s="36"/>
      <c r="U11" s="36"/>
      <c r="V11" s="36"/>
      <c r="W11" s="36"/>
      <c r="X11" s="36"/>
      <c r="Y11" s="36"/>
      <c r="Z11" s="36"/>
    </row>
    <row r="12" spans="1:26" ht="42" customHeight="1" x14ac:dyDescent="0.25">
      <c r="A12" s="37" t="s">
        <v>140</v>
      </c>
      <c r="B12" s="38" t="s">
        <v>141</v>
      </c>
      <c r="C12" s="39" t="s">
        <v>82</v>
      </c>
      <c r="D12" s="38" t="s">
        <v>142</v>
      </c>
      <c r="E12" s="38" t="s">
        <v>112</v>
      </c>
      <c r="F12" s="40" t="s">
        <v>85</v>
      </c>
      <c r="G12" s="39" t="s">
        <v>86</v>
      </c>
      <c r="H12" s="38" t="s">
        <v>143</v>
      </c>
      <c r="I12" s="38" t="s">
        <v>144</v>
      </c>
      <c r="J12" s="39" t="s">
        <v>89</v>
      </c>
      <c r="K12" s="38" t="s">
        <v>90</v>
      </c>
      <c r="L12" s="39" t="s">
        <v>145</v>
      </c>
      <c r="M12" s="41" t="s">
        <v>92</v>
      </c>
      <c r="N12" s="39" t="s">
        <v>93</v>
      </c>
      <c r="O12" s="41" t="s">
        <v>94</v>
      </c>
      <c r="P12" s="39"/>
      <c r="Q12" s="39" t="s">
        <v>95</v>
      </c>
      <c r="R12" s="38" t="s">
        <v>146</v>
      </c>
      <c r="S12" s="36"/>
      <c r="T12" s="36"/>
      <c r="U12" s="36"/>
      <c r="V12" s="36"/>
      <c r="W12" s="36"/>
      <c r="X12" s="36"/>
      <c r="Y12" s="36"/>
      <c r="Z12" s="36"/>
    </row>
    <row r="13" spans="1:26" ht="42" customHeight="1" x14ac:dyDescent="0.25">
      <c r="A13" s="42" t="s">
        <v>147</v>
      </c>
      <c r="B13" s="43" t="s">
        <v>148</v>
      </c>
      <c r="C13" s="44" t="s">
        <v>82</v>
      </c>
      <c r="D13" s="43" t="s">
        <v>142</v>
      </c>
      <c r="E13" s="43" t="s">
        <v>112</v>
      </c>
      <c r="F13" s="46" t="s">
        <v>85</v>
      </c>
      <c r="G13" s="44" t="s">
        <v>86</v>
      </c>
      <c r="H13" s="43" t="s">
        <v>149</v>
      </c>
      <c r="I13" s="43" t="s">
        <v>150</v>
      </c>
      <c r="J13" s="44" t="s">
        <v>89</v>
      </c>
      <c r="K13" s="43" t="s">
        <v>90</v>
      </c>
      <c r="L13" s="44" t="s">
        <v>145</v>
      </c>
      <c r="M13" s="45" t="s">
        <v>92</v>
      </c>
      <c r="N13" s="44" t="s">
        <v>93</v>
      </c>
      <c r="O13" s="46" t="s">
        <v>94</v>
      </c>
      <c r="P13" s="44"/>
      <c r="Q13" s="44" t="s">
        <v>95</v>
      </c>
      <c r="R13" s="43" t="s">
        <v>146</v>
      </c>
      <c r="S13" s="36"/>
      <c r="T13" s="36"/>
      <c r="U13" s="36"/>
      <c r="V13" s="36"/>
      <c r="W13" s="36"/>
      <c r="X13" s="36"/>
      <c r="Y13" s="36"/>
      <c r="Z13" s="36"/>
    </row>
    <row r="14" spans="1:26" ht="42" customHeight="1" x14ac:dyDescent="0.25">
      <c r="A14" s="37" t="s">
        <v>151</v>
      </c>
      <c r="B14" s="38" t="s">
        <v>152</v>
      </c>
      <c r="C14" s="39" t="s">
        <v>153</v>
      </c>
      <c r="D14" s="38" t="s">
        <v>154</v>
      </c>
      <c r="E14" s="38" t="s">
        <v>155</v>
      </c>
      <c r="F14" s="40" t="s">
        <v>85</v>
      </c>
      <c r="G14" s="39" t="s">
        <v>86</v>
      </c>
      <c r="H14" s="38" t="s">
        <v>156</v>
      </c>
      <c r="I14" s="38" t="s">
        <v>157</v>
      </c>
      <c r="J14" s="39" t="s">
        <v>89</v>
      </c>
      <c r="K14" s="38" t="s">
        <v>90</v>
      </c>
      <c r="L14" s="39" t="s">
        <v>158</v>
      </c>
      <c r="M14" s="40" t="s">
        <v>92</v>
      </c>
      <c r="N14" s="39" t="s">
        <v>93</v>
      </c>
      <c r="O14" s="45" t="s">
        <v>94</v>
      </c>
      <c r="P14" s="39"/>
      <c r="Q14" s="39" t="s">
        <v>95</v>
      </c>
      <c r="R14" s="38" t="s">
        <v>159</v>
      </c>
      <c r="S14" s="36"/>
      <c r="T14" s="36"/>
      <c r="U14" s="36"/>
      <c r="V14" s="36"/>
      <c r="W14" s="36"/>
      <c r="X14" s="36"/>
      <c r="Y14" s="36"/>
      <c r="Z14" s="36"/>
    </row>
    <row r="15" spans="1:26" ht="42" customHeight="1" x14ac:dyDescent="0.25">
      <c r="A15" s="42" t="s">
        <v>160</v>
      </c>
      <c r="B15" s="43" t="s">
        <v>161</v>
      </c>
      <c r="C15" s="44" t="s">
        <v>162</v>
      </c>
      <c r="D15" s="43" t="s">
        <v>163</v>
      </c>
      <c r="E15" s="43" t="s">
        <v>112</v>
      </c>
      <c r="F15" s="40" t="s">
        <v>85</v>
      </c>
      <c r="G15" s="44" t="s">
        <v>86</v>
      </c>
      <c r="H15" s="43" t="s">
        <v>164</v>
      </c>
      <c r="I15" s="43" t="s">
        <v>165</v>
      </c>
      <c r="J15" s="44" t="s">
        <v>89</v>
      </c>
      <c r="K15" s="43" t="s">
        <v>90</v>
      </c>
      <c r="L15" s="44" t="s">
        <v>166</v>
      </c>
      <c r="M15" s="45" t="s">
        <v>92</v>
      </c>
      <c r="N15" s="44" t="s">
        <v>93</v>
      </c>
      <c r="O15" s="46" t="s">
        <v>94</v>
      </c>
      <c r="P15" s="44"/>
      <c r="Q15" s="44" t="s">
        <v>95</v>
      </c>
      <c r="R15" s="43" t="s">
        <v>167</v>
      </c>
      <c r="S15" s="36"/>
      <c r="T15" s="36"/>
      <c r="U15" s="36"/>
      <c r="V15" s="36"/>
      <c r="W15" s="36"/>
      <c r="X15" s="36"/>
      <c r="Y15" s="36"/>
      <c r="Z15" s="36"/>
    </row>
    <row r="16" spans="1:26" ht="42" customHeight="1" x14ac:dyDescent="0.25">
      <c r="A16" s="47" t="s">
        <v>168</v>
      </c>
      <c r="B16" s="47" t="s">
        <v>169</v>
      </c>
      <c r="C16" s="47" t="s">
        <v>162</v>
      </c>
      <c r="D16" s="47" t="s">
        <v>163</v>
      </c>
      <c r="E16" s="47" t="s">
        <v>112</v>
      </c>
      <c r="F16" s="47" t="s">
        <v>85</v>
      </c>
      <c r="G16" s="47" t="s">
        <v>86</v>
      </c>
      <c r="H16" s="47" t="s">
        <v>170</v>
      </c>
      <c r="I16" s="47" t="s">
        <v>157</v>
      </c>
      <c r="J16" s="47" t="s">
        <v>89</v>
      </c>
      <c r="K16" s="47" t="s">
        <v>90</v>
      </c>
      <c r="L16" s="47" t="s">
        <v>166</v>
      </c>
      <c r="M16" s="47" t="s">
        <v>92</v>
      </c>
      <c r="N16" s="47" t="s">
        <v>93</v>
      </c>
      <c r="O16" s="47" t="s">
        <v>94</v>
      </c>
      <c r="P16" s="47"/>
      <c r="Q16" s="47" t="s">
        <v>95</v>
      </c>
      <c r="R16" s="47" t="s">
        <v>171</v>
      </c>
      <c r="S16" s="36"/>
      <c r="T16" s="36"/>
      <c r="U16" s="36"/>
      <c r="V16" s="36"/>
      <c r="W16" s="36"/>
      <c r="X16" s="36"/>
      <c r="Y16" s="36"/>
      <c r="Z16" s="36"/>
    </row>
    <row r="17" spans="1:26" ht="42" customHeight="1" x14ac:dyDescent="0.25">
      <c r="A17" s="47" t="s">
        <v>172</v>
      </c>
      <c r="B17" s="47" t="s">
        <v>173</v>
      </c>
      <c r="C17" s="47" t="s">
        <v>174</v>
      </c>
      <c r="D17" s="47" t="s">
        <v>175</v>
      </c>
      <c r="E17" s="47" t="s">
        <v>155</v>
      </c>
      <c r="F17" s="47" t="s">
        <v>119</v>
      </c>
      <c r="G17" s="47" t="s">
        <v>86</v>
      </c>
      <c r="H17" s="47" t="s">
        <v>176</v>
      </c>
      <c r="I17" s="47" t="s">
        <v>157</v>
      </c>
      <c r="J17" s="47" t="s">
        <v>89</v>
      </c>
      <c r="K17" s="47" t="s">
        <v>90</v>
      </c>
      <c r="L17" s="47" t="s">
        <v>177</v>
      </c>
      <c r="M17" s="47" t="s">
        <v>92</v>
      </c>
      <c r="N17" s="47" t="s">
        <v>93</v>
      </c>
      <c r="O17" s="47" t="s">
        <v>94</v>
      </c>
      <c r="P17" s="47"/>
      <c r="Q17" s="47" t="s">
        <v>95</v>
      </c>
      <c r="R17" s="47" t="s">
        <v>178</v>
      </c>
      <c r="S17" s="36"/>
      <c r="T17" s="36"/>
      <c r="U17" s="36"/>
      <c r="V17" s="36"/>
      <c r="W17" s="36"/>
      <c r="X17" s="36"/>
      <c r="Y17" s="36"/>
      <c r="Z17" s="36"/>
    </row>
    <row r="18" spans="1:26" ht="42" customHeight="1" x14ac:dyDescent="0.25">
      <c r="A18" s="47" t="s">
        <v>179</v>
      </c>
      <c r="B18" s="47" t="s">
        <v>180</v>
      </c>
      <c r="C18" s="47" t="s">
        <v>180</v>
      </c>
      <c r="D18" s="47" t="s">
        <v>181</v>
      </c>
      <c r="E18" s="47" t="s">
        <v>182</v>
      </c>
      <c r="F18" s="47" t="s">
        <v>119</v>
      </c>
      <c r="G18" s="47" t="s">
        <v>86</v>
      </c>
      <c r="H18" s="47" t="s">
        <v>183</v>
      </c>
      <c r="I18" s="47" t="s">
        <v>184</v>
      </c>
      <c r="J18" s="47" t="s">
        <v>185</v>
      </c>
      <c r="K18" s="47" t="s">
        <v>90</v>
      </c>
      <c r="L18" s="47"/>
      <c r="M18" s="47" t="s">
        <v>186</v>
      </c>
      <c r="N18" s="47"/>
      <c r="O18" s="47" t="s">
        <v>187</v>
      </c>
      <c r="P18" s="47"/>
      <c r="Q18" s="47" t="s">
        <v>95</v>
      </c>
      <c r="R18" s="47" t="s">
        <v>188</v>
      </c>
      <c r="S18" s="36"/>
      <c r="T18" s="36"/>
      <c r="U18" s="36"/>
      <c r="V18" s="36"/>
      <c r="W18" s="36"/>
      <c r="X18" s="36"/>
      <c r="Y18" s="36"/>
      <c r="Z18" s="36"/>
    </row>
    <row r="19" spans="1:26" ht="42" customHeight="1" x14ac:dyDescent="0.25">
      <c r="A19" s="47" t="s">
        <v>189</v>
      </c>
      <c r="B19" s="47" t="s">
        <v>190</v>
      </c>
      <c r="C19" s="47" t="s">
        <v>190</v>
      </c>
      <c r="D19" s="47" t="s">
        <v>191</v>
      </c>
      <c r="E19" s="47" t="s">
        <v>112</v>
      </c>
      <c r="F19" s="47" t="s">
        <v>192</v>
      </c>
      <c r="G19" s="47" t="s">
        <v>86</v>
      </c>
      <c r="H19" s="47" t="s">
        <v>193</v>
      </c>
      <c r="I19" s="47" t="s">
        <v>194</v>
      </c>
      <c r="J19" s="47" t="s">
        <v>89</v>
      </c>
      <c r="K19" s="47" t="s">
        <v>90</v>
      </c>
      <c r="L19" s="47" t="s">
        <v>195</v>
      </c>
      <c r="M19" s="47" t="s">
        <v>92</v>
      </c>
      <c r="N19" s="47" t="s">
        <v>93</v>
      </c>
      <c r="O19" s="47" t="s">
        <v>94</v>
      </c>
      <c r="P19" s="47"/>
      <c r="Q19" s="47" t="s">
        <v>95</v>
      </c>
      <c r="R19" s="47" t="s">
        <v>196</v>
      </c>
      <c r="S19" s="36"/>
      <c r="T19" s="36"/>
      <c r="U19" s="36"/>
      <c r="V19" s="36"/>
      <c r="W19" s="36"/>
      <c r="X19" s="36"/>
      <c r="Y19" s="36"/>
      <c r="Z19" s="36"/>
    </row>
    <row r="20" spans="1:26" x14ac:dyDescent="0.25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spans="1:26" x14ac:dyDescent="0.25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spans="1:26" x14ac:dyDescent="0.25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spans="1:26" x14ac:dyDescent="0.25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spans="1:26" x14ac:dyDescent="0.25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spans="1:26" x14ac:dyDescent="0.25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spans="1:26" x14ac:dyDescent="0.25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spans="1:26" x14ac:dyDescent="0.25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spans="1:26" x14ac:dyDescent="0.25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spans="1:26" x14ac:dyDescent="0.25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spans="1:26" x14ac:dyDescent="0.25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spans="1:26" x14ac:dyDescent="0.25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spans="1:26" x14ac:dyDescent="0.25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spans="1:26" x14ac:dyDescent="0.25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spans="1:26" x14ac:dyDescent="0.25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spans="1:26" x14ac:dyDescent="0.25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spans="1:26" x14ac:dyDescent="0.25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spans="1:26" x14ac:dyDescent="0.25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spans="1:26" x14ac:dyDescent="0.25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spans="1:26" x14ac:dyDescent="0.25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spans="1:26" x14ac:dyDescent="0.25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spans="1:26" x14ac:dyDescent="0.25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spans="1:26" x14ac:dyDescent="0.25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spans="1:26" x14ac:dyDescent="0.25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spans="1:26" x14ac:dyDescent="0.25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spans="1:26" x14ac:dyDescent="0.25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spans="1:26" x14ac:dyDescent="0.25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spans="1:26" x14ac:dyDescent="0.25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spans="1:26" x14ac:dyDescent="0.25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spans="1:26" x14ac:dyDescent="0.25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spans="1:26" x14ac:dyDescent="0.25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spans="1:26" x14ac:dyDescent="0.25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spans="1:26" x14ac:dyDescent="0.25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spans="1:26" x14ac:dyDescent="0.25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spans="1:26" x14ac:dyDescent="0.25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spans="1:26" x14ac:dyDescent="0.25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spans="1:26" x14ac:dyDescent="0.25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spans="1:26" x14ac:dyDescent="0.25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spans="1:26" x14ac:dyDescent="0.25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spans="1:26" x14ac:dyDescent="0.25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spans="1:26" x14ac:dyDescent="0.25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spans="1:26" x14ac:dyDescent="0.25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spans="1:26" x14ac:dyDescent="0.25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spans="1:26" x14ac:dyDescent="0.25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spans="1:26" x14ac:dyDescent="0.25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spans="1:26" x14ac:dyDescent="0.25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spans="1:26" x14ac:dyDescent="0.25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spans="1:26" x14ac:dyDescent="0.25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spans="1:26" x14ac:dyDescent="0.25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spans="1:26" x14ac:dyDescent="0.25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spans="1:26" x14ac:dyDescent="0.25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spans="1:26" x14ac:dyDescent="0.25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spans="1:26" x14ac:dyDescent="0.25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spans="1:26" x14ac:dyDescent="0.25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spans="1:26" x14ac:dyDescent="0.25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spans="1:26" x14ac:dyDescent="0.25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spans="1:26" x14ac:dyDescent="0.25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spans="1:26" x14ac:dyDescent="0.25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spans="1:26" x14ac:dyDescent="0.25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spans="1:26" x14ac:dyDescent="0.25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spans="1:26" x14ac:dyDescent="0.25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spans="1:26" x14ac:dyDescent="0.25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spans="1:26" x14ac:dyDescent="0.25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spans="1:26" x14ac:dyDescent="0.25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spans="1:26" x14ac:dyDescent="0.25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spans="1:26" x14ac:dyDescent="0.25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spans="1:26" x14ac:dyDescent="0.25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spans="1:26" x14ac:dyDescent="0.25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spans="1:26" x14ac:dyDescent="0.25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spans="1:26" x14ac:dyDescent="0.25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spans="1:26" x14ac:dyDescent="0.25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spans="1:26" x14ac:dyDescent="0.25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spans="1:26" x14ac:dyDescent="0.25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spans="1:26" x14ac:dyDescent="0.25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spans="1:26" x14ac:dyDescent="0.25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spans="1:26" x14ac:dyDescent="0.25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spans="1:26" x14ac:dyDescent="0.25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spans="1:26" x14ac:dyDescent="0.25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spans="1:26" x14ac:dyDescent="0.25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spans="1:26" x14ac:dyDescent="0.25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spans="1:26" x14ac:dyDescent="0.25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</sheetData>
  <mergeCells count="7">
    <mergeCell ref="D2:F2"/>
    <mergeCell ref="I2:K2"/>
    <mergeCell ref="G2:H2"/>
    <mergeCell ref="O2:R2"/>
    <mergeCell ref="A1:R1"/>
    <mergeCell ref="L2:N2"/>
    <mergeCell ref="A2:C2"/>
  </mergeCells>
  <dataValidations count="4">
    <dataValidation type="list" allowBlank="1" sqref="C4:C103" xr:uid="{00000000-0002-0000-0100-000000000000}">
      <formula1>"Funcional,No funcional,Restricción,Interfaz,Rendimiento,Seguridad"</formula1>
    </dataValidation>
    <dataValidation type="list" allowBlank="1" sqref="F4:F103" xr:uid="{00000000-0002-0000-0100-000001000000}">
      <formula1>"Must have,Should have,Could have,Won't have"</formula1>
    </dataValidation>
    <dataValidation type="list" allowBlank="1" sqref="M4:M103" xr:uid="{00000000-0002-0000-0100-000002000000}">
      <formula1>"Pasado,Fallido,Bloqueado,Pendiente,N/A"</formula1>
    </dataValidation>
    <dataValidation type="list" allowBlank="1" sqref="O4:O103" xr:uid="{00000000-0002-0000-0100-000003000000}">
      <formula1>"Propuesto,Aprobado,En desarrollo,Implementado,Verificado,Aplazado,Rechazado,Archivado"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"/>
  <sheetViews>
    <sheetView showGridLines="0" topLeftCell="A11" workbookViewId="0">
      <selection sqref="A1:M1"/>
    </sheetView>
  </sheetViews>
  <sheetFormatPr baseColWidth="10" defaultColWidth="8.875" defaultRowHeight="15" x14ac:dyDescent="0.25"/>
  <cols>
    <col min="1" max="1" width="12" customWidth="1"/>
    <col min="2" max="2" width="24" customWidth="1"/>
    <col min="3" max="14" width="9" customWidth="1"/>
  </cols>
  <sheetData>
    <row r="1" spans="1:26" ht="36" customHeight="1" x14ac:dyDescent="0.25">
      <c r="A1" s="91" t="s">
        <v>61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50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6" ht="18" customHeight="1" x14ac:dyDescent="0.25">
      <c r="A2" s="50"/>
      <c r="B2" s="50"/>
      <c r="C2" s="96" t="s">
        <v>62</v>
      </c>
      <c r="D2" s="87"/>
      <c r="E2" s="87"/>
      <c r="F2" s="87"/>
      <c r="G2" s="95" t="s">
        <v>63</v>
      </c>
      <c r="H2" s="87"/>
      <c r="I2" s="87"/>
      <c r="J2" s="87"/>
      <c r="K2" s="87"/>
      <c r="L2" s="98" t="s">
        <v>64</v>
      </c>
      <c r="M2" s="87"/>
      <c r="N2" s="87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spans="1:26" ht="72" customHeight="1" x14ac:dyDescent="0.25">
      <c r="A3" s="20" t="s">
        <v>197</v>
      </c>
      <c r="B3" s="20" t="s">
        <v>198</v>
      </c>
      <c r="C3" s="14" t="s">
        <v>199</v>
      </c>
      <c r="D3" s="14" t="s">
        <v>200</v>
      </c>
      <c r="E3" s="14" t="s">
        <v>201</v>
      </c>
      <c r="F3" s="14" t="s">
        <v>91</v>
      </c>
      <c r="G3" s="15" t="s">
        <v>101</v>
      </c>
      <c r="H3" s="15" t="s">
        <v>107</v>
      </c>
      <c r="I3" s="15" t="s">
        <v>122</v>
      </c>
      <c r="J3" s="15" t="s">
        <v>129</v>
      </c>
      <c r="K3" s="15" t="s">
        <v>158</v>
      </c>
      <c r="L3" s="16" t="s">
        <v>166</v>
      </c>
      <c r="M3" s="16" t="s">
        <v>177</v>
      </c>
      <c r="N3" s="16" t="s">
        <v>195</v>
      </c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spans="1:26" ht="20.100000000000001" customHeight="1" x14ac:dyDescent="0.25">
      <c r="A4" s="17" t="s">
        <v>80</v>
      </c>
      <c r="B4" s="1" t="s">
        <v>81</v>
      </c>
      <c r="C4" s="48" t="s">
        <v>202</v>
      </c>
      <c r="D4" s="49"/>
      <c r="E4" s="49" t="s">
        <v>202</v>
      </c>
      <c r="F4" s="49" t="s">
        <v>202</v>
      </c>
      <c r="G4" s="48"/>
      <c r="H4" s="49"/>
      <c r="I4" s="49"/>
      <c r="J4" s="49"/>
      <c r="K4" s="49"/>
      <c r="L4" s="48"/>
      <c r="M4" s="49"/>
      <c r="N4" s="49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spans="1:26" ht="20.100000000000001" customHeight="1" x14ac:dyDescent="0.25">
      <c r="A5" s="17" t="s">
        <v>97</v>
      </c>
      <c r="B5" s="2" t="s">
        <v>98</v>
      </c>
      <c r="C5" s="48" t="s">
        <v>202</v>
      </c>
      <c r="D5" s="8"/>
      <c r="E5" s="8" t="s">
        <v>202</v>
      </c>
      <c r="F5" s="8"/>
      <c r="G5" s="8" t="s">
        <v>202</v>
      </c>
      <c r="H5" s="48"/>
      <c r="I5" s="8"/>
      <c r="J5" s="8"/>
      <c r="K5" s="8"/>
      <c r="L5" s="48"/>
      <c r="M5" s="8"/>
      <c r="N5" s="8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 spans="1:26" ht="20.100000000000001" customHeight="1" x14ac:dyDescent="0.25">
      <c r="A6" s="17" t="s">
        <v>103</v>
      </c>
      <c r="B6" s="1" t="s">
        <v>104</v>
      </c>
      <c r="C6" s="49" t="s">
        <v>202</v>
      </c>
      <c r="D6" s="48"/>
      <c r="E6" s="49" t="s">
        <v>202</v>
      </c>
      <c r="F6" s="49"/>
      <c r="G6" s="49"/>
      <c r="H6" s="49" t="s">
        <v>202</v>
      </c>
      <c r="I6" s="48"/>
      <c r="J6" s="49"/>
      <c r="K6" s="49"/>
      <c r="L6" s="48"/>
      <c r="M6" s="49"/>
      <c r="N6" s="49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spans="1:26" ht="20.100000000000001" customHeight="1" x14ac:dyDescent="0.25">
      <c r="A7" s="17" t="s">
        <v>109</v>
      </c>
      <c r="B7" s="2" t="s">
        <v>110</v>
      </c>
      <c r="C7" s="8" t="s">
        <v>202</v>
      </c>
      <c r="D7" s="8"/>
      <c r="E7" s="8" t="s">
        <v>202</v>
      </c>
      <c r="F7" s="8"/>
      <c r="G7" s="8"/>
      <c r="H7" s="8" t="s">
        <v>202</v>
      </c>
      <c r="I7" s="8"/>
      <c r="J7" s="48"/>
      <c r="K7" s="8"/>
      <c r="L7" s="48"/>
      <c r="M7" s="8"/>
      <c r="N7" s="8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spans="1:26" ht="20.100000000000001" customHeight="1" x14ac:dyDescent="0.25">
      <c r="A8" s="17" t="s">
        <v>116</v>
      </c>
      <c r="B8" s="1" t="s">
        <v>117</v>
      </c>
      <c r="C8" s="49" t="s">
        <v>202</v>
      </c>
      <c r="D8" s="48"/>
      <c r="E8" s="49" t="s">
        <v>202</v>
      </c>
      <c r="F8" s="49"/>
      <c r="G8" s="49"/>
      <c r="H8" s="49"/>
      <c r="I8" s="48" t="s">
        <v>202</v>
      </c>
      <c r="J8" s="49"/>
      <c r="K8" s="49"/>
      <c r="L8" s="48"/>
      <c r="M8" s="49"/>
      <c r="N8" s="49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spans="1:26" ht="20.100000000000001" customHeight="1" x14ac:dyDescent="0.25">
      <c r="A9" s="17" t="s">
        <v>124</v>
      </c>
      <c r="B9" s="2" t="s">
        <v>125</v>
      </c>
      <c r="C9" s="8" t="s">
        <v>202</v>
      </c>
      <c r="D9" s="8" t="s">
        <v>202</v>
      </c>
      <c r="E9" s="48" t="s">
        <v>202</v>
      </c>
      <c r="F9" s="8"/>
      <c r="G9" s="8"/>
      <c r="H9" s="8"/>
      <c r="I9" s="8"/>
      <c r="J9" s="8" t="s">
        <v>202</v>
      </c>
      <c r="K9" s="48"/>
      <c r="L9" s="8"/>
      <c r="M9" s="48"/>
      <c r="N9" s="8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spans="1:26" ht="20.100000000000001" customHeight="1" x14ac:dyDescent="0.25">
      <c r="A10" s="17" t="s">
        <v>131</v>
      </c>
      <c r="B10" s="1" t="s">
        <v>132</v>
      </c>
      <c r="C10" s="49" t="s">
        <v>202</v>
      </c>
      <c r="D10" s="49" t="s">
        <v>202</v>
      </c>
      <c r="E10" s="48" t="s">
        <v>202</v>
      </c>
      <c r="F10" s="49"/>
      <c r="G10" s="49"/>
      <c r="H10" s="49"/>
      <c r="I10" s="49"/>
      <c r="J10" s="49" t="s">
        <v>202</v>
      </c>
      <c r="K10" s="48"/>
      <c r="L10" s="49"/>
      <c r="M10" s="48"/>
      <c r="N10" s="49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spans="1:26" ht="20.100000000000001" customHeight="1" x14ac:dyDescent="0.25">
      <c r="A11" s="17" t="s">
        <v>135</v>
      </c>
      <c r="B11" s="2" t="s">
        <v>136</v>
      </c>
      <c r="C11" s="8" t="s">
        <v>202</v>
      </c>
      <c r="D11" s="8" t="s">
        <v>202</v>
      </c>
      <c r="E11" s="8" t="s">
        <v>202</v>
      </c>
      <c r="F11" s="48"/>
      <c r="G11" s="8"/>
      <c r="H11" s="8"/>
      <c r="I11" s="8"/>
      <c r="J11" s="8" t="s">
        <v>202</v>
      </c>
      <c r="K11" s="8"/>
      <c r="L11" s="48"/>
      <c r="M11" s="8"/>
      <c r="N11" s="8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spans="1:26" ht="20.100000000000001" customHeight="1" x14ac:dyDescent="0.25">
      <c r="A12" s="17" t="s">
        <v>140</v>
      </c>
      <c r="B12" s="1" t="s">
        <v>141</v>
      </c>
      <c r="C12" s="49" t="s">
        <v>202</v>
      </c>
      <c r="D12" s="49" t="s">
        <v>202</v>
      </c>
      <c r="E12" s="48"/>
      <c r="F12" s="49" t="s">
        <v>202</v>
      </c>
      <c r="G12" s="49" t="s">
        <v>202</v>
      </c>
      <c r="H12" s="49" t="s">
        <v>202</v>
      </c>
      <c r="I12" s="49"/>
      <c r="J12" s="49"/>
      <c r="K12" s="49"/>
      <c r="L12" s="49"/>
      <c r="M12" s="48"/>
      <c r="N12" s="49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spans="1:26" ht="20.100000000000001" customHeight="1" x14ac:dyDescent="0.25">
      <c r="A13" s="17" t="s">
        <v>147</v>
      </c>
      <c r="B13" s="2" t="s">
        <v>148</v>
      </c>
      <c r="C13" s="8" t="s">
        <v>202</v>
      </c>
      <c r="D13" s="8" t="s">
        <v>202</v>
      </c>
      <c r="E13" s="8"/>
      <c r="F13" s="8" t="s">
        <v>202</v>
      </c>
      <c r="G13" s="8" t="s">
        <v>202</v>
      </c>
      <c r="H13" s="8" t="s">
        <v>202</v>
      </c>
      <c r="I13" s="8"/>
      <c r="J13" s="8"/>
      <c r="K13" s="8"/>
      <c r="L13" s="8"/>
      <c r="M13" s="48"/>
      <c r="N13" s="8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spans="1:26" ht="20.100000000000001" customHeight="1" x14ac:dyDescent="0.25">
      <c r="A14" s="17" t="s">
        <v>151</v>
      </c>
      <c r="B14" s="1" t="s">
        <v>152</v>
      </c>
      <c r="C14" s="49" t="s">
        <v>202</v>
      </c>
      <c r="D14" s="49"/>
      <c r="E14" s="49"/>
      <c r="F14" s="49"/>
      <c r="G14" s="49"/>
      <c r="H14" s="49"/>
      <c r="I14" s="49"/>
      <c r="J14" s="49"/>
      <c r="K14" s="49" t="s">
        <v>202</v>
      </c>
      <c r="L14" s="49"/>
      <c r="M14" s="49"/>
      <c r="N14" s="48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spans="1:26" ht="20.100000000000001" customHeight="1" x14ac:dyDescent="0.25">
      <c r="A15" s="17" t="s">
        <v>160</v>
      </c>
      <c r="B15" s="2" t="s">
        <v>161</v>
      </c>
      <c r="C15" s="8" t="s">
        <v>202</v>
      </c>
      <c r="D15" s="48" t="s">
        <v>202</v>
      </c>
      <c r="E15" s="8"/>
      <c r="F15" s="8"/>
      <c r="G15" s="8"/>
      <c r="H15" s="8"/>
      <c r="I15" s="8"/>
      <c r="J15" s="8"/>
      <c r="K15" s="8"/>
      <c r="L15" s="8" t="s">
        <v>202</v>
      </c>
      <c r="M15" s="8"/>
      <c r="N15" s="48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spans="1:26" x14ac:dyDescent="0.25">
      <c r="A16" s="36" t="s">
        <v>168</v>
      </c>
      <c r="B16" s="36" t="s">
        <v>169</v>
      </c>
      <c r="C16" s="36" t="s">
        <v>202</v>
      </c>
      <c r="D16" s="36"/>
      <c r="E16" s="36"/>
      <c r="F16" s="36"/>
      <c r="G16" s="36"/>
      <c r="H16" s="36"/>
      <c r="I16" s="36"/>
      <c r="J16" s="36"/>
      <c r="K16" s="36"/>
      <c r="L16" s="36" t="s">
        <v>202</v>
      </c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spans="1:26" ht="21.95" customHeight="1" x14ac:dyDescent="0.25">
      <c r="A17" s="97" t="s">
        <v>172</v>
      </c>
      <c r="B17" s="92" t="s">
        <v>173</v>
      </c>
      <c r="C17" s="51">
        <f t="shared" ref="C17:N17" si="0">IFERROR(COUNTIF(C4:C15,"✓")/COUNTA(C4:C15),"")</f>
        <v>1</v>
      </c>
      <c r="D17" s="52">
        <f t="shared" si="0"/>
        <v>1</v>
      </c>
      <c r="E17" s="52">
        <f t="shared" si="0"/>
        <v>1</v>
      </c>
      <c r="F17" s="52">
        <f t="shared" si="0"/>
        <v>1</v>
      </c>
      <c r="G17" s="52">
        <f t="shared" si="0"/>
        <v>1</v>
      </c>
      <c r="H17" s="52">
        <f t="shared" si="0"/>
        <v>1</v>
      </c>
      <c r="I17" s="52">
        <f t="shared" si="0"/>
        <v>1</v>
      </c>
      <c r="J17" s="52">
        <f t="shared" si="0"/>
        <v>1</v>
      </c>
      <c r="K17" s="52">
        <f t="shared" si="0"/>
        <v>1</v>
      </c>
      <c r="L17" s="52">
        <f t="shared" si="0"/>
        <v>1</v>
      </c>
      <c r="M17" s="52" t="str">
        <f t="shared" si="0"/>
        <v/>
      </c>
      <c r="N17" s="52" t="str">
        <f t="shared" si="0"/>
        <v/>
      </c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spans="1:26" x14ac:dyDescent="0.25">
      <c r="A18" s="36" t="s">
        <v>179</v>
      </c>
      <c r="B18" s="36" t="s">
        <v>180</v>
      </c>
      <c r="C18" s="36" t="s">
        <v>202</v>
      </c>
      <c r="D18" s="36" t="s">
        <v>202</v>
      </c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spans="1:26" x14ac:dyDescent="0.25">
      <c r="A19" s="36" t="s">
        <v>189</v>
      </c>
      <c r="B19" s="36" t="s">
        <v>190</v>
      </c>
      <c r="C19" s="36" t="s">
        <v>202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 t="s">
        <v>202</v>
      </c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spans="1:26" ht="45" x14ac:dyDescent="0.25">
      <c r="A20" s="36" t="s">
        <v>203</v>
      </c>
      <c r="B20" s="36"/>
      <c r="C20" s="53">
        <f t="shared" ref="C20:N20" si="1">IFERROR(COUNTIF(C4:C19,"✓")/COUNTA($A$4:$A$19),"")</f>
        <v>0.9375</v>
      </c>
      <c r="D20" s="53">
        <f t="shared" si="1"/>
        <v>0.4375</v>
      </c>
      <c r="E20" s="53">
        <f t="shared" si="1"/>
        <v>0.5</v>
      </c>
      <c r="F20" s="53">
        <f t="shared" si="1"/>
        <v>0.1875</v>
      </c>
      <c r="G20" s="53">
        <f t="shared" si="1"/>
        <v>0.1875</v>
      </c>
      <c r="H20" s="53">
        <f t="shared" si="1"/>
        <v>0.25</v>
      </c>
      <c r="I20" s="53">
        <f t="shared" si="1"/>
        <v>6.25E-2</v>
      </c>
      <c r="J20" s="53">
        <f t="shared" si="1"/>
        <v>0.1875</v>
      </c>
      <c r="K20" s="53">
        <f t="shared" si="1"/>
        <v>6.25E-2</v>
      </c>
      <c r="L20" s="53">
        <f t="shared" si="1"/>
        <v>0.125</v>
      </c>
      <c r="M20" s="53">
        <f t="shared" si="1"/>
        <v>0</v>
      </c>
      <c r="N20" s="53">
        <f t="shared" si="1"/>
        <v>6.25E-2</v>
      </c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spans="1:26" x14ac:dyDescent="0.25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spans="1:26" x14ac:dyDescent="0.25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spans="1:26" x14ac:dyDescent="0.25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spans="1:26" x14ac:dyDescent="0.25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spans="1:26" x14ac:dyDescent="0.25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spans="1:26" x14ac:dyDescent="0.25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spans="1:26" x14ac:dyDescent="0.25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spans="1:26" x14ac:dyDescent="0.25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spans="1:26" x14ac:dyDescent="0.25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spans="1:26" x14ac:dyDescent="0.25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spans="1:26" x14ac:dyDescent="0.25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spans="1:26" x14ac:dyDescent="0.25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spans="1:26" x14ac:dyDescent="0.25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spans="1:26" x14ac:dyDescent="0.25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spans="1:26" x14ac:dyDescent="0.25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spans="1:26" x14ac:dyDescent="0.25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spans="1:26" x14ac:dyDescent="0.25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spans="1:26" x14ac:dyDescent="0.25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spans="1:26" x14ac:dyDescent="0.25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spans="1:26" x14ac:dyDescent="0.25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spans="1:26" x14ac:dyDescent="0.25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spans="1:26" x14ac:dyDescent="0.25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spans="1:26" x14ac:dyDescent="0.25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spans="1:26" x14ac:dyDescent="0.25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spans="1:26" x14ac:dyDescent="0.25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spans="1:26" x14ac:dyDescent="0.25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spans="1:26" x14ac:dyDescent="0.25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spans="1:26" x14ac:dyDescent="0.25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spans="1:26" x14ac:dyDescent="0.25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spans="1:26" x14ac:dyDescent="0.25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spans="1:26" x14ac:dyDescent="0.25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spans="1:26" x14ac:dyDescent="0.25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spans="1:26" x14ac:dyDescent="0.25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spans="1:26" x14ac:dyDescent="0.25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spans="1:26" x14ac:dyDescent="0.25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spans="1:26" x14ac:dyDescent="0.25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spans="1:26" x14ac:dyDescent="0.25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spans="1:26" x14ac:dyDescent="0.25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spans="1:26" x14ac:dyDescent="0.25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spans="1:26" x14ac:dyDescent="0.25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spans="1:26" x14ac:dyDescent="0.25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spans="1:26" x14ac:dyDescent="0.25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spans="1:26" x14ac:dyDescent="0.25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spans="1:26" x14ac:dyDescent="0.25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spans="1:26" x14ac:dyDescent="0.25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spans="1:26" x14ac:dyDescent="0.25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spans="1:26" x14ac:dyDescent="0.25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spans="1:26" x14ac:dyDescent="0.25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spans="1:26" x14ac:dyDescent="0.25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spans="1:26" x14ac:dyDescent="0.25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spans="1:26" x14ac:dyDescent="0.25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spans="1:26" x14ac:dyDescent="0.25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spans="1:26" x14ac:dyDescent="0.25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spans="1:26" x14ac:dyDescent="0.25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spans="1:26" x14ac:dyDescent="0.25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spans="1:26" x14ac:dyDescent="0.25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spans="1:26" x14ac:dyDescent="0.25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spans="1:26" x14ac:dyDescent="0.25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spans="1:26" x14ac:dyDescent="0.25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spans="1:26" x14ac:dyDescent="0.25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spans="1:26" x14ac:dyDescent="0.25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spans="1:26" x14ac:dyDescent="0.25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spans="1:26" x14ac:dyDescent="0.25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spans="1:26" x14ac:dyDescent="0.25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spans="1:26" x14ac:dyDescent="0.25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spans="1:26" x14ac:dyDescent="0.25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spans="1:26" x14ac:dyDescent="0.25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spans="1:26" x14ac:dyDescent="0.25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spans="1:26" x14ac:dyDescent="0.25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spans="1:26" x14ac:dyDescent="0.25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spans="1:26" x14ac:dyDescent="0.25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spans="1:26" x14ac:dyDescent="0.25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spans="1:26" x14ac:dyDescent="0.25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spans="1:26" x14ac:dyDescent="0.25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spans="1:26" x14ac:dyDescent="0.25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spans="1:26" x14ac:dyDescent="0.25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spans="1:26" x14ac:dyDescent="0.25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spans="1:26" x14ac:dyDescent="0.25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spans="1:26" x14ac:dyDescent="0.25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spans="1:26" x14ac:dyDescent="0.25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</sheetData>
  <mergeCells count="5">
    <mergeCell ref="A1:M1"/>
    <mergeCell ref="G2:K2"/>
    <mergeCell ref="C2:F2"/>
    <mergeCell ref="A17:B17"/>
    <mergeCell ref="L2:N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"/>
  <sheetViews>
    <sheetView showGridLines="0" workbookViewId="0">
      <selection activeCell="A16" sqref="A16:H16"/>
    </sheetView>
  </sheetViews>
  <sheetFormatPr baseColWidth="10" defaultColWidth="8.875" defaultRowHeight="15" x14ac:dyDescent="0.25"/>
  <cols>
    <col min="1" max="1" width="12" customWidth="1"/>
    <col min="2" max="2" width="28" customWidth="1"/>
    <col min="3" max="4" width="14" customWidth="1"/>
    <col min="5" max="5" width="18" customWidth="1"/>
    <col min="6" max="6" width="12" customWidth="1"/>
    <col min="7" max="8" width="14" customWidth="1"/>
    <col min="9" max="9" width="18" customWidth="1"/>
  </cols>
  <sheetData>
    <row r="1" spans="1:26" ht="42" customHeight="1" x14ac:dyDescent="0.25">
      <c r="A1" s="91" t="s">
        <v>204</v>
      </c>
      <c r="B1" s="92"/>
      <c r="C1" s="92"/>
      <c r="D1" s="92"/>
      <c r="E1" s="92"/>
      <c r="F1" s="92"/>
      <c r="G1" s="92"/>
      <c r="H1" s="92"/>
      <c r="I1" s="92"/>
      <c r="J1" s="92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6" ht="18" customHeight="1" x14ac:dyDescent="0.25">
      <c r="A2" s="123" t="s">
        <v>205</v>
      </c>
      <c r="B2" s="105"/>
      <c r="C2" s="105"/>
      <c r="D2" s="105"/>
      <c r="E2" s="105"/>
      <c r="F2" s="105"/>
      <c r="G2" s="105"/>
      <c r="H2" s="105"/>
      <c r="I2" s="105"/>
      <c r="J2" s="105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spans="1:26" ht="9.9499999999999993" customHeight="1" x14ac:dyDescent="0.25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spans="1:26" ht="18" customHeight="1" x14ac:dyDescent="0.25">
      <c r="A4" s="120" t="s">
        <v>206</v>
      </c>
      <c r="B4" s="92"/>
      <c r="C4" s="106" t="s">
        <v>207</v>
      </c>
      <c r="D4" s="87"/>
      <c r="E4" s="107" t="s">
        <v>187</v>
      </c>
      <c r="F4" s="87"/>
      <c r="G4" s="121" t="s">
        <v>208</v>
      </c>
      <c r="H4" s="87"/>
      <c r="I4" s="122" t="s">
        <v>209</v>
      </c>
      <c r="J4" s="87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spans="1:26" ht="39.950000000000003" customHeight="1" x14ac:dyDescent="0.25">
      <c r="A5" s="117">
        <f>COUNTA('📋 Matriz principal'!A4:A103)</f>
        <v>16</v>
      </c>
      <c r="B5" s="92"/>
      <c r="C5" s="100">
        <f>COUNTA('📋 Matriz principal'!L4:L103)</f>
        <v>15</v>
      </c>
      <c r="D5" s="87"/>
      <c r="E5" s="101">
        <f>COUNTIF('📋 Matriz principal'!O4:O103,"Pendiente verificación")</f>
        <v>1</v>
      </c>
      <c r="F5" s="87"/>
      <c r="G5" s="118">
        <f>A5-C5</f>
        <v>1</v>
      </c>
      <c r="H5" s="87"/>
      <c r="I5" s="119">
        <f>IFERROR(C5/A5,0)</f>
        <v>0.9375</v>
      </c>
      <c r="J5" s="87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 spans="1:26" ht="21.95" customHeight="1" x14ac:dyDescent="0.25">
      <c r="A6" s="92"/>
      <c r="B6" s="92"/>
      <c r="C6" s="115"/>
      <c r="D6" s="87"/>
      <c r="E6" s="116"/>
      <c r="F6" s="87"/>
      <c r="G6" s="109"/>
      <c r="H6" s="87"/>
      <c r="I6" s="124"/>
      <c r="J6" s="87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spans="1:26" ht="15.95" customHeight="1" x14ac:dyDescent="0.25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spans="1:26" ht="20.100000000000001" customHeight="1" x14ac:dyDescent="0.25">
      <c r="A8" s="99" t="s">
        <v>210</v>
      </c>
      <c r="B8" s="92"/>
      <c r="C8" s="92"/>
      <c r="D8" s="92"/>
      <c r="E8" s="92"/>
      <c r="F8" s="92"/>
      <c r="G8" s="92"/>
      <c r="H8" s="92"/>
      <c r="I8" s="92"/>
      <c r="J8" s="92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spans="1:26" ht="18" customHeight="1" x14ac:dyDescent="0.25">
      <c r="A9" s="29" t="s">
        <v>82</v>
      </c>
      <c r="B9" s="30" t="s">
        <v>153</v>
      </c>
      <c r="C9" s="31" t="s">
        <v>162</v>
      </c>
      <c r="D9" s="30" t="s">
        <v>174</v>
      </c>
      <c r="E9" s="32" t="s">
        <v>180</v>
      </c>
      <c r="F9" s="33" t="s">
        <v>190</v>
      </c>
      <c r="G9" s="34" t="s">
        <v>211</v>
      </c>
      <c r="H9" s="35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spans="1:26" ht="24" customHeight="1" x14ac:dyDescent="0.25">
      <c r="A10" s="54">
        <f>COUNTIF('📋 Matriz principal'!C4:C103,"Funcional")</f>
        <v>10</v>
      </c>
      <c r="B10" s="55">
        <f>COUNTIF('📋 Matriz principal'!C4:C103,"Rendimiento")</f>
        <v>1</v>
      </c>
      <c r="C10" s="56">
        <f>COUNTIF('📋 Matriz principal'!C4:C103,"Calidad")</f>
        <v>2</v>
      </c>
      <c r="D10" s="55">
        <f>COUNTIF('📋 Matriz principal'!C4:C103,"Disponibilidad")</f>
        <v>1</v>
      </c>
      <c r="E10" s="57">
        <f>COUNTIF('📋 Matriz principal'!C4:C103,"Mantenibilidad")</f>
        <v>1</v>
      </c>
      <c r="F10" s="58">
        <f>COUNTIF('📋 Matriz principal'!C4:C103,"Portabilidad")</f>
        <v>1</v>
      </c>
      <c r="G10" s="59">
        <f>A5-SUM(A10:F10)</f>
        <v>0</v>
      </c>
      <c r="H10" s="60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spans="1:26" ht="15.95" customHeight="1" x14ac:dyDescent="0.25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spans="1:26" ht="20.100000000000001" customHeight="1" x14ac:dyDescent="0.25">
      <c r="A12" s="99" t="s">
        <v>212</v>
      </c>
      <c r="B12" s="92"/>
      <c r="C12" s="92"/>
      <c r="D12" s="92"/>
      <c r="E12" s="92"/>
      <c r="F12" s="92"/>
      <c r="G12" s="92"/>
      <c r="H12" s="92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spans="1:26" ht="18" customHeight="1" x14ac:dyDescent="0.25">
      <c r="A13" s="113" t="s">
        <v>85</v>
      </c>
      <c r="B13" s="87"/>
      <c r="C13" s="114" t="s">
        <v>119</v>
      </c>
      <c r="D13" s="87"/>
      <c r="E13" s="108" t="s">
        <v>192</v>
      </c>
      <c r="F13" s="87"/>
      <c r="G13" s="110" t="s">
        <v>213</v>
      </c>
      <c r="H13" s="87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spans="1:26" ht="24" customHeight="1" x14ac:dyDescent="0.25">
      <c r="A14" s="111">
        <f>COUNTIF('📋 Matriz principal'!F4:F103,"Must have")</f>
        <v>11</v>
      </c>
      <c r="B14" s="87"/>
      <c r="C14" s="102">
        <f>COUNTIF('📋 Matriz principal'!F4:F103,"Should have")</f>
        <v>4</v>
      </c>
      <c r="D14" s="87"/>
      <c r="E14" s="103">
        <f>COUNTIF('📋 Matriz principal'!F4:F103,"Could have")</f>
        <v>1</v>
      </c>
      <c r="F14" s="87"/>
      <c r="G14" s="112">
        <f>COUNTIF('📋 Matriz principal'!F4:F103,"Won't have")</f>
        <v>0</v>
      </c>
      <c r="H14" s="87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spans="1:26" ht="15.95" customHeight="1" x14ac:dyDescent="0.25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spans="1:26" ht="20.100000000000001" customHeight="1" x14ac:dyDescent="0.25">
      <c r="A16" s="99" t="s">
        <v>214</v>
      </c>
      <c r="B16" s="92"/>
      <c r="C16" s="92"/>
      <c r="D16" s="92"/>
      <c r="E16" s="92"/>
      <c r="F16" s="92"/>
      <c r="G16" s="92"/>
      <c r="H16" s="92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spans="1:26" ht="18" customHeight="1" x14ac:dyDescent="0.25">
      <c r="A17" s="61" t="s">
        <v>215</v>
      </c>
      <c r="B17" s="61"/>
      <c r="C17" s="61"/>
      <c r="D17" s="61"/>
      <c r="E17" s="61"/>
      <c r="F17" s="61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spans="1:26" ht="20.100000000000001" customHeight="1" x14ac:dyDescent="0.25">
      <c r="A18" s="104"/>
      <c r="B18" s="105"/>
      <c r="C18" s="105"/>
      <c r="D18" s="105"/>
      <c r="E18" s="105"/>
      <c r="F18" s="105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spans="1:26" x14ac:dyDescent="0.25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spans="1:26" x14ac:dyDescent="0.25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spans="1:26" x14ac:dyDescent="0.25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spans="1:26" x14ac:dyDescent="0.25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spans="1:26" x14ac:dyDescent="0.25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spans="1:26" x14ac:dyDescent="0.25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spans="1:26" x14ac:dyDescent="0.25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spans="1:26" x14ac:dyDescent="0.25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spans="1:26" x14ac:dyDescent="0.25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spans="1:26" x14ac:dyDescent="0.25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spans="1:26" x14ac:dyDescent="0.25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spans="1:26" x14ac:dyDescent="0.25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spans="1:26" x14ac:dyDescent="0.25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spans="1:26" x14ac:dyDescent="0.25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spans="1:26" x14ac:dyDescent="0.25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spans="1:26" x14ac:dyDescent="0.25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spans="1:26" x14ac:dyDescent="0.25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spans="1:26" x14ac:dyDescent="0.25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spans="1:26" x14ac:dyDescent="0.25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spans="1:26" x14ac:dyDescent="0.25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spans="1:26" x14ac:dyDescent="0.25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spans="1:26" x14ac:dyDescent="0.25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spans="1:26" x14ac:dyDescent="0.25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spans="1:26" x14ac:dyDescent="0.25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spans="1:26" x14ac:dyDescent="0.25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spans="1:26" x14ac:dyDescent="0.25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spans="1:26" x14ac:dyDescent="0.25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spans="1:26" x14ac:dyDescent="0.25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spans="1:26" x14ac:dyDescent="0.25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spans="1:26" x14ac:dyDescent="0.25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spans="1:26" x14ac:dyDescent="0.25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spans="1:26" x14ac:dyDescent="0.25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spans="1:26" x14ac:dyDescent="0.25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spans="1:26" x14ac:dyDescent="0.25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spans="1:26" x14ac:dyDescent="0.25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spans="1:26" x14ac:dyDescent="0.25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spans="1:26" x14ac:dyDescent="0.25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spans="1:26" x14ac:dyDescent="0.25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spans="1:26" x14ac:dyDescent="0.25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spans="1:26" x14ac:dyDescent="0.25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spans="1:26" x14ac:dyDescent="0.25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spans="1:26" x14ac:dyDescent="0.25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spans="1:26" x14ac:dyDescent="0.25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spans="1:26" x14ac:dyDescent="0.25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spans="1:26" x14ac:dyDescent="0.25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spans="1:26" x14ac:dyDescent="0.25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spans="1:26" x14ac:dyDescent="0.25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spans="1:26" x14ac:dyDescent="0.25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spans="1:26" x14ac:dyDescent="0.25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spans="1:26" x14ac:dyDescent="0.25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spans="1:26" x14ac:dyDescent="0.25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spans="1:26" x14ac:dyDescent="0.25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spans="1:26" x14ac:dyDescent="0.25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spans="1:26" x14ac:dyDescent="0.25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spans="1:26" x14ac:dyDescent="0.25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spans="1:26" x14ac:dyDescent="0.25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spans="1:26" x14ac:dyDescent="0.25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spans="1:26" x14ac:dyDescent="0.25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spans="1:26" x14ac:dyDescent="0.25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spans="1:26" x14ac:dyDescent="0.25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spans="1:26" x14ac:dyDescent="0.25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spans="1:26" x14ac:dyDescent="0.25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spans="1:26" x14ac:dyDescent="0.25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spans="1:26" x14ac:dyDescent="0.25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spans="1:26" x14ac:dyDescent="0.25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spans="1:26" x14ac:dyDescent="0.25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spans="1:26" x14ac:dyDescent="0.25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spans="1:26" x14ac:dyDescent="0.25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spans="1:26" x14ac:dyDescent="0.25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spans="1:26" x14ac:dyDescent="0.25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spans="1:26" x14ac:dyDescent="0.25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spans="1:26" x14ac:dyDescent="0.25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spans="1:26" x14ac:dyDescent="0.25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spans="1:26" x14ac:dyDescent="0.25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spans="1:26" x14ac:dyDescent="0.25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spans="1:26" x14ac:dyDescent="0.25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spans="1:26" x14ac:dyDescent="0.25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spans="1:26" x14ac:dyDescent="0.25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spans="1:26" x14ac:dyDescent="0.25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spans="1:26" x14ac:dyDescent="0.25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spans="1:26" x14ac:dyDescent="0.25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spans="1:26" x14ac:dyDescent="0.25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</sheetData>
  <mergeCells count="29">
    <mergeCell ref="A1:J1"/>
    <mergeCell ref="E6:F6"/>
    <mergeCell ref="A5:B5"/>
    <mergeCell ref="G5:H5"/>
    <mergeCell ref="I5:J5"/>
    <mergeCell ref="A4:B4"/>
    <mergeCell ref="G4:H4"/>
    <mergeCell ref="I4:J4"/>
    <mergeCell ref="A2:J2"/>
    <mergeCell ref="I6:J6"/>
    <mergeCell ref="A18:F18"/>
    <mergeCell ref="A6:B6"/>
    <mergeCell ref="C4:D4"/>
    <mergeCell ref="E4:F4"/>
    <mergeCell ref="A16:H16"/>
    <mergeCell ref="E13:F13"/>
    <mergeCell ref="G6:H6"/>
    <mergeCell ref="G13:H13"/>
    <mergeCell ref="A12:H12"/>
    <mergeCell ref="A14:B14"/>
    <mergeCell ref="G14:H14"/>
    <mergeCell ref="A13:B13"/>
    <mergeCell ref="C13:D13"/>
    <mergeCell ref="C6:D6"/>
    <mergeCell ref="A8:J8"/>
    <mergeCell ref="C5:D5"/>
    <mergeCell ref="E5:F5"/>
    <mergeCell ref="C14:D14"/>
    <mergeCell ref="E14:F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"/>
  <sheetViews>
    <sheetView showGridLines="0" workbookViewId="0">
      <selection activeCell="I17" sqref="I17"/>
    </sheetView>
  </sheetViews>
  <sheetFormatPr baseColWidth="10" defaultColWidth="8.875" defaultRowHeight="15" x14ac:dyDescent="0.25"/>
  <cols>
    <col min="1" max="1" width="10" customWidth="1"/>
    <col min="2" max="2" width="30" customWidth="1"/>
    <col min="3" max="3" width="18" customWidth="1"/>
    <col min="4" max="4" width="14" customWidth="1"/>
    <col min="5" max="5" width="12" customWidth="1"/>
    <col min="6" max="6" width="20" customWidth="1"/>
    <col min="7" max="7" width="28" customWidth="1"/>
    <col min="8" max="9" width="14" customWidth="1"/>
    <col min="10" max="10" width="18" customWidth="1"/>
    <col min="11" max="11" width="12" customWidth="1"/>
    <col min="12" max="12" width="14" customWidth="1"/>
    <col min="13" max="13" width="28" customWidth="1"/>
  </cols>
  <sheetData>
    <row r="1" spans="1:26" ht="36" customHeight="1" x14ac:dyDescent="0.25">
      <c r="A1" s="125" t="s">
        <v>65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6" ht="36" customHeight="1" x14ac:dyDescent="0.25">
      <c r="A2" s="26" t="s">
        <v>66</v>
      </c>
      <c r="B2" s="27" t="s">
        <v>67</v>
      </c>
      <c r="C2" s="28" t="s">
        <v>68</v>
      </c>
      <c r="D2" s="26" t="s">
        <v>69</v>
      </c>
      <c r="E2" s="26" t="s">
        <v>70</v>
      </c>
      <c r="F2" s="26" t="s">
        <v>71</v>
      </c>
      <c r="G2" s="26" t="s">
        <v>72</v>
      </c>
      <c r="H2" s="26" t="s">
        <v>73</v>
      </c>
      <c r="I2" s="26" t="s">
        <v>74</v>
      </c>
      <c r="J2" s="26" t="s">
        <v>75</v>
      </c>
      <c r="K2" s="26" t="s">
        <v>76</v>
      </c>
      <c r="L2" s="26" t="s">
        <v>77</v>
      </c>
      <c r="M2" s="26" t="s">
        <v>78</v>
      </c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spans="1:26" ht="30" customHeight="1" x14ac:dyDescent="0.25">
      <c r="A3" s="21" t="s">
        <v>216</v>
      </c>
      <c r="B3" s="22" t="s">
        <v>217</v>
      </c>
      <c r="C3" s="22" t="s">
        <v>218</v>
      </c>
      <c r="D3" s="23" t="s">
        <v>219</v>
      </c>
      <c r="E3" s="24" t="s">
        <v>220</v>
      </c>
      <c r="F3" s="22" t="s">
        <v>221</v>
      </c>
      <c r="G3" s="22" t="s">
        <v>222</v>
      </c>
      <c r="H3" s="25" t="s">
        <v>223</v>
      </c>
      <c r="I3" s="23" t="s">
        <v>219</v>
      </c>
      <c r="J3" s="22" t="s">
        <v>311</v>
      </c>
      <c r="K3" s="23" t="s">
        <v>224</v>
      </c>
      <c r="L3" s="25" t="s">
        <v>225</v>
      </c>
      <c r="M3" s="22" t="s">
        <v>226</v>
      </c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spans="1:26" ht="30" customHeight="1" x14ac:dyDescent="0.25">
      <c r="A4" s="17" t="s">
        <v>227</v>
      </c>
      <c r="B4" s="1" t="s">
        <v>228</v>
      </c>
      <c r="C4" s="1" t="s">
        <v>218</v>
      </c>
      <c r="D4" s="8" t="s">
        <v>219</v>
      </c>
      <c r="E4" s="13" t="s">
        <v>229</v>
      </c>
      <c r="F4" s="1" t="s">
        <v>221</v>
      </c>
      <c r="G4" s="1" t="s">
        <v>222</v>
      </c>
      <c r="H4" s="10" t="s">
        <v>223</v>
      </c>
      <c r="I4" s="8" t="s">
        <v>219</v>
      </c>
      <c r="J4" s="1" t="s">
        <v>311</v>
      </c>
      <c r="K4" s="8" t="s">
        <v>224</v>
      </c>
      <c r="L4" s="10" t="s">
        <v>225</v>
      </c>
      <c r="M4" s="1" t="s">
        <v>230</v>
      </c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spans="1:26" ht="30" customHeight="1" x14ac:dyDescent="0.25">
      <c r="A5" s="17" t="s">
        <v>231</v>
      </c>
      <c r="B5" s="2" t="s">
        <v>232</v>
      </c>
      <c r="C5" s="2" t="s">
        <v>218</v>
      </c>
      <c r="D5" s="11" t="s">
        <v>219</v>
      </c>
      <c r="E5" s="12" t="s">
        <v>229</v>
      </c>
      <c r="F5" s="2" t="s">
        <v>221</v>
      </c>
      <c r="G5" s="2" t="s">
        <v>222</v>
      </c>
      <c r="H5" s="10" t="s">
        <v>223</v>
      </c>
      <c r="I5" s="11" t="s">
        <v>219</v>
      </c>
      <c r="J5" s="2" t="s">
        <v>311</v>
      </c>
      <c r="K5" s="11" t="s">
        <v>224</v>
      </c>
      <c r="L5" s="12" t="s">
        <v>225</v>
      </c>
      <c r="M5" s="2" t="s">
        <v>230</v>
      </c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 spans="1:26" ht="30" customHeight="1" x14ac:dyDescent="0.25">
      <c r="A6" s="17" t="s">
        <v>233</v>
      </c>
      <c r="B6" s="1" t="s">
        <v>234</v>
      </c>
      <c r="C6" s="1" t="s">
        <v>218</v>
      </c>
      <c r="D6" s="8" t="s">
        <v>219</v>
      </c>
      <c r="E6" s="9" t="s">
        <v>220</v>
      </c>
      <c r="F6" s="1" t="s">
        <v>221</v>
      </c>
      <c r="G6" s="1" t="s">
        <v>222</v>
      </c>
      <c r="H6" s="12" t="s">
        <v>223</v>
      </c>
      <c r="I6" s="8" t="s">
        <v>219</v>
      </c>
      <c r="J6" s="1" t="s">
        <v>310</v>
      </c>
      <c r="K6" s="8" t="s">
        <v>224</v>
      </c>
      <c r="L6" s="13" t="s">
        <v>225</v>
      </c>
      <c r="M6" s="1" t="s">
        <v>230</v>
      </c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spans="1:26" ht="30" customHeight="1" x14ac:dyDescent="0.25">
      <c r="A7" s="17" t="s">
        <v>235</v>
      </c>
      <c r="B7" s="2" t="s">
        <v>236</v>
      </c>
      <c r="C7" s="2" t="s">
        <v>218</v>
      </c>
      <c r="D7" s="11" t="s">
        <v>219</v>
      </c>
      <c r="E7" s="13" t="s">
        <v>229</v>
      </c>
      <c r="F7" s="2" t="s">
        <v>221</v>
      </c>
      <c r="G7" s="2" t="s">
        <v>222</v>
      </c>
      <c r="H7" s="9" t="s">
        <v>237</v>
      </c>
      <c r="I7" s="11" t="s">
        <v>219</v>
      </c>
      <c r="J7" s="2" t="s">
        <v>238</v>
      </c>
      <c r="K7" s="11" t="s">
        <v>239</v>
      </c>
      <c r="L7" s="9" t="s">
        <v>237</v>
      </c>
      <c r="M7" s="2" t="s">
        <v>240</v>
      </c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spans="1:26" ht="30" x14ac:dyDescent="0.25">
      <c r="A8" s="36" t="s">
        <v>241</v>
      </c>
      <c r="B8" s="36" t="s">
        <v>242</v>
      </c>
      <c r="C8" s="36" t="s">
        <v>218</v>
      </c>
      <c r="D8" s="36" t="s">
        <v>219</v>
      </c>
      <c r="E8" s="36" t="s">
        <v>220</v>
      </c>
      <c r="F8" s="36" t="s">
        <v>221</v>
      </c>
      <c r="G8" s="36" t="s">
        <v>222</v>
      </c>
      <c r="H8" s="36" t="s">
        <v>223</v>
      </c>
      <c r="I8" s="36" t="s">
        <v>219</v>
      </c>
      <c r="J8" s="36" t="s">
        <v>311</v>
      </c>
      <c r="K8" s="36" t="s">
        <v>224</v>
      </c>
      <c r="L8" s="36" t="s">
        <v>225</v>
      </c>
      <c r="M8" s="36" t="s">
        <v>243</v>
      </c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spans="1:26" x14ac:dyDescent="0.25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spans="1:26" x14ac:dyDescent="0.25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spans="1:26" x14ac:dyDescent="0.25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spans="1:26" x14ac:dyDescent="0.25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spans="1:26" x14ac:dyDescent="0.25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spans="1:26" x14ac:dyDescent="0.25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spans="1:26" x14ac:dyDescent="0.25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spans="1:26" x14ac:dyDescent="0.25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spans="1:26" x14ac:dyDescent="0.25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spans="1:26" x14ac:dyDescent="0.25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spans="1:26" x14ac:dyDescent="0.25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spans="1:26" x14ac:dyDescent="0.25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spans="1:26" x14ac:dyDescent="0.25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spans="1:26" x14ac:dyDescent="0.25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spans="1:26" x14ac:dyDescent="0.25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spans="1:26" x14ac:dyDescent="0.25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spans="1:26" x14ac:dyDescent="0.25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spans="1:26" x14ac:dyDescent="0.25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spans="1:26" x14ac:dyDescent="0.25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spans="1:26" x14ac:dyDescent="0.25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spans="1:26" x14ac:dyDescent="0.25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spans="1:26" x14ac:dyDescent="0.25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spans="1:26" x14ac:dyDescent="0.25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spans="1:26" x14ac:dyDescent="0.25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spans="1:26" x14ac:dyDescent="0.25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spans="1:26" x14ac:dyDescent="0.25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spans="1:26" x14ac:dyDescent="0.25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spans="1:26" x14ac:dyDescent="0.25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spans="1:26" x14ac:dyDescent="0.25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spans="1:26" x14ac:dyDescent="0.25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spans="1:26" x14ac:dyDescent="0.25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spans="1:26" x14ac:dyDescent="0.25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spans="1:26" x14ac:dyDescent="0.25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spans="1:26" x14ac:dyDescent="0.25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spans="1:26" x14ac:dyDescent="0.25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spans="1:26" x14ac:dyDescent="0.25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spans="1:26" x14ac:dyDescent="0.25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spans="1:26" x14ac:dyDescent="0.25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spans="1:26" x14ac:dyDescent="0.25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spans="1:26" x14ac:dyDescent="0.25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spans="1:26" x14ac:dyDescent="0.25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spans="1:26" x14ac:dyDescent="0.25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spans="1:26" x14ac:dyDescent="0.25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spans="1:26" x14ac:dyDescent="0.25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spans="1:26" x14ac:dyDescent="0.25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spans="1:26" x14ac:dyDescent="0.25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spans="1:26" x14ac:dyDescent="0.25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spans="1:26" x14ac:dyDescent="0.25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spans="1:26" x14ac:dyDescent="0.25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spans="1:26" x14ac:dyDescent="0.25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spans="1:26" x14ac:dyDescent="0.25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spans="1:26" x14ac:dyDescent="0.25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spans="1:26" x14ac:dyDescent="0.25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spans="1:26" x14ac:dyDescent="0.25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spans="1:26" x14ac:dyDescent="0.25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spans="1:26" x14ac:dyDescent="0.25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spans="1:26" x14ac:dyDescent="0.25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spans="1:26" x14ac:dyDescent="0.25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spans="1:26" x14ac:dyDescent="0.25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spans="1:26" x14ac:dyDescent="0.25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spans="1:26" x14ac:dyDescent="0.25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spans="1:26" x14ac:dyDescent="0.25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spans="1:26" x14ac:dyDescent="0.25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spans="1:26" x14ac:dyDescent="0.25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spans="1:26" x14ac:dyDescent="0.25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spans="1:26" x14ac:dyDescent="0.25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spans="1:26" x14ac:dyDescent="0.25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spans="1:26" x14ac:dyDescent="0.25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spans="1:26" x14ac:dyDescent="0.25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spans="1:26" x14ac:dyDescent="0.25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spans="1:26" x14ac:dyDescent="0.25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spans="1:26" x14ac:dyDescent="0.25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spans="1:26" x14ac:dyDescent="0.25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spans="1:26" x14ac:dyDescent="0.25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spans="1:26" x14ac:dyDescent="0.25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spans="1:26" x14ac:dyDescent="0.25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spans="1:26" x14ac:dyDescent="0.25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spans="1:26" x14ac:dyDescent="0.25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spans="1:26" x14ac:dyDescent="0.25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spans="1:26" x14ac:dyDescent="0.25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spans="1:26" x14ac:dyDescent="0.25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spans="1:26" x14ac:dyDescent="0.25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spans="1:26" x14ac:dyDescent="0.25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spans="1:26" x14ac:dyDescent="0.25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spans="1:26" x14ac:dyDescent="0.25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spans="1:26" x14ac:dyDescent="0.25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spans="1:26" x14ac:dyDescent="0.25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spans="1:26" x14ac:dyDescent="0.25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spans="1:26" x14ac:dyDescent="0.25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spans="1:26" x14ac:dyDescent="0.25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spans="1:26" x14ac:dyDescent="0.25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spans="1:26" x14ac:dyDescent="0.25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</sheetData>
  <mergeCells count="1">
    <mergeCell ref="A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"/>
  <sheetViews>
    <sheetView showGridLines="0" workbookViewId="0">
      <selection sqref="A1:G1"/>
    </sheetView>
  </sheetViews>
  <sheetFormatPr baseColWidth="10" defaultColWidth="8.875" defaultRowHeight="15" x14ac:dyDescent="0.25"/>
  <cols>
    <col min="1" max="2" width="14" customWidth="1"/>
    <col min="3" max="3" width="34" customWidth="1"/>
    <col min="4" max="4" width="14" customWidth="1"/>
    <col min="5" max="6" width="18" customWidth="1"/>
    <col min="7" max="7" width="24" customWidth="1"/>
  </cols>
  <sheetData>
    <row r="1" spans="1:26" ht="36" customHeight="1" x14ac:dyDescent="0.25">
      <c r="A1" s="125" t="s">
        <v>79</v>
      </c>
      <c r="B1" s="126"/>
      <c r="C1" s="126"/>
      <c r="D1" s="126"/>
      <c r="E1" s="126"/>
      <c r="F1" s="126"/>
      <c r="G1" s="12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6" ht="33.950000000000003" customHeight="1" x14ac:dyDescent="0.25">
      <c r="A2" s="62" t="s">
        <v>244</v>
      </c>
      <c r="B2" s="63" t="s">
        <v>45</v>
      </c>
      <c r="C2" s="64" t="s">
        <v>245</v>
      </c>
      <c r="D2" s="63" t="s">
        <v>246</v>
      </c>
      <c r="E2" s="63" t="s">
        <v>247</v>
      </c>
      <c r="F2" s="63" t="s">
        <v>248</v>
      </c>
      <c r="G2" s="65" t="s">
        <v>249</v>
      </c>
      <c r="H2" s="47" t="s">
        <v>250</v>
      </c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spans="1:26" ht="21.95" customHeight="1" x14ac:dyDescent="0.25">
      <c r="A3" s="66" t="s">
        <v>251</v>
      </c>
      <c r="B3" s="46" t="s">
        <v>252</v>
      </c>
      <c r="C3" s="43" t="s">
        <v>253</v>
      </c>
      <c r="D3" s="44" t="s">
        <v>254</v>
      </c>
      <c r="E3" s="43" t="s">
        <v>255</v>
      </c>
      <c r="F3" s="44" t="s">
        <v>90</v>
      </c>
      <c r="G3" s="43" t="s">
        <v>95</v>
      </c>
      <c r="H3" s="47" t="s">
        <v>256</v>
      </c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spans="1:26" ht="21.95" customHeight="1" x14ac:dyDescent="0.25">
      <c r="A4" s="66" t="s">
        <v>257</v>
      </c>
      <c r="B4" s="46" t="s">
        <v>258</v>
      </c>
      <c r="C4" s="38" t="s">
        <v>259</v>
      </c>
      <c r="D4" s="39" t="s">
        <v>254</v>
      </c>
      <c r="E4" s="38" t="s">
        <v>255</v>
      </c>
      <c r="F4" s="39" t="s">
        <v>90</v>
      </c>
      <c r="G4" s="38" t="s">
        <v>95</v>
      </c>
      <c r="H4" s="47" t="s">
        <v>260</v>
      </c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spans="1:26" ht="21.95" customHeight="1" x14ac:dyDescent="0.25">
      <c r="A5" s="66" t="s">
        <v>216</v>
      </c>
      <c r="B5" s="46" t="s">
        <v>261</v>
      </c>
      <c r="C5" s="43" t="s">
        <v>262</v>
      </c>
      <c r="D5" s="44" t="s">
        <v>254</v>
      </c>
      <c r="E5" s="43" t="s">
        <v>263</v>
      </c>
      <c r="F5" s="44" t="s">
        <v>90</v>
      </c>
      <c r="G5" s="43" t="s">
        <v>95</v>
      </c>
      <c r="H5" s="47" t="s">
        <v>222</v>
      </c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 spans="1:26" ht="21.95" customHeight="1" x14ac:dyDescent="0.25">
      <c r="A6" s="66" t="s">
        <v>227</v>
      </c>
      <c r="B6" s="41" t="s">
        <v>261</v>
      </c>
      <c r="C6" s="38" t="s">
        <v>264</v>
      </c>
      <c r="D6" s="39" t="s">
        <v>254</v>
      </c>
      <c r="E6" s="38" t="s">
        <v>263</v>
      </c>
      <c r="F6" s="39" t="s">
        <v>90</v>
      </c>
      <c r="G6" s="38" t="s">
        <v>95</v>
      </c>
      <c r="H6" s="47" t="s">
        <v>222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spans="1:26" ht="21.95" customHeight="1" x14ac:dyDescent="0.25">
      <c r="A7" s="66" t="s">
        <v>231</v>
      </c>
      <c r="B7" s="41" t="s">
        <v>261</v>
      </c>
      <c r="C7" s="43" t="s">
        <v>265</v>
      </c>
      <c r="D7" s="44" t="s">
        <v>254</v>
      </c>
      <c r="E7" s="43" t="s">
        <v>263</v>
      </c>
      <c r="F7" s="44" t="s">
        <v>90</v>
      </c>
      <c r="G7" s="43" t="s">
        <v>95</v>
      </c>
      <c r="H7" s="47" t="s">
        <v>222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spans="1:26" ht="21.95" customHeight="1" x14ac:dyDescent="0.25">
      <c r="A8" s="66" t="s">
        <v>233</v>
      </c>
      <c r="B8" s="41" t="s">
        <v>261</v>
      </c>
      <c r="C8" s="38" t="s">
        <v>234</v>
      </c>
      <c r="D8" s="39" t="s">
        <v>254</v>
      </c>
      <c r="E8" s="38" t="s">
        <v>263</v>
      </c>
      <c r="F8" s="39" t="s">
        <v>90</v>
      </c>
      <c r="G8" s="38" t="s">
        <v>95</v>
      </c>
      <c r="H8" s="47" t="s">
        <v>222</v>
      </c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spans="1:26" ht="21.95" customHeight="1" x14ac:dyDescent="0.25">
      <c r="A9" s="66" t="s">
        <v>235</v>
      </c>
      <c r="B9" s="41" t="s">
        <v>261</v>
      </c>
      <c r="C9" s="43" t="s">
        <v>236</v>
      </c>
      <c r="D9" s="44" t="s">
        <v>254</v>
      </c>
      <c r="E9" s="43" t="s">
        <v>266</v>
      </c>
      <c r="F9" s="44" t="s">
        <v>90</v>
      </c>
      <c r="G9" s="43" t="s">
        <v>95</v>
      </c>
      <c r="H9" s="47" t="s">
        <v>222</v>
      </c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spans="1:26" ht="21.95" customHeight="1" x14ac:dyDescent="0.25">
      <c r="A10" s="66" t="s">
        <v>241</v>
      </c>
      <c r="B10" s="41" t="s">
        <v>261</v>
      </c>
      <c r="C10" s="38" t="s">
        <v>267</v>
      </c>
      <c r="D10" s="39" t="s">
        <v>254</v>
      </c>
      <c r="E10" s="38" t="s">
        <v>263</v>
      </c>
      <c r="F10" s="39" t="s">
        <v>90</v>
      </c>
      <c r="G10" s="38" t="s">
        <v>95</v>
      </c>
      <c r="H10" s="47" t="s">
        <v>222</v>
      </c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spans="1:26" ht="21.95" customHeight="1" x14ac:dyDescent="0.25">
      <c r="A11" s="66" t="s">
        <v>199</v>
      </c>
      <c r="B11" s="41" t="s">
        <v>268</v>
      </c>
      <c r="C11" s="43" t="s">
        <v>269</v>
      </c>
      <c r="D11" s="44" t="s">
        <v>254</v>
      </c>
      <c r="E11" s="43" t="s">
        <v>255</v>
      </c>
      <c r="F11" s="44" t="s">
        <v>90</v>
      </c>
      <c r="G11" s="43" t="s">
        <v>95</v>
      </c>
      <c r="H11" s="47" t="s">
        <v>270</v>
      </c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spans="1:26" ht="21.95" customHeight="1" x14ac:dyDescent="0.25">
      <c r="A12" s="66" t="s">
        <v>200</v>
      </c>
      <c r="B12" s="41" t="s">
        <v>271</v>
      </c>
      <c r="C12" s="38" t="s">
        <v>272</v>
      </c>
      <c r="D12" s="39" t="s">
        <v>254</v>
      </c>
      <c r="E12" s="38" t="s">
        <v>255</v>
      </c>
      <c r="F12" s="39" t="s">
        <v>90</v>
      </c>
      <c r="G12" s="38" t="s">
        <v>95</v>
      </c>
      <c r="H12" s="47" t="s">
        <v>273</v>
      </c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spans="1:26" ht="21.95" customHeight="1" x14ac:dyDescent="0.25">
      <c r="A13" s="66" t="s">
        <v>201</v>
      </c>
      <c r="B13" s="41" t="s">
        <v>271</v>
      </c>
      <c r="C13" s="43" t="s">
        <v>274</v>
      </c>
      <c r="D13" s="44" t="s">
        <v>254</v>
      </c>
      <c r="E13" s="43" t="s">
        <v>255</v>
      </c>
      <c r="F13" s="44" t="s">
        <v>90</v>
      </c>
      <c r="G13" s="43" t="s">
        <v>95</v>
      </c>
      <c r="H13" s="47" t="s">
        <v>275</v>
      </c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spans="1:26" ht="21.95" customHeight="1" x14ac:dyDescent="0.25">
      <c r="A14" s="66" t="s">
        <v>276</v>
      </c>
      <c r="B14" s="67" t="s">
        <v>277</v>
      </c>
      <c r="C14" s="38" t="s">
        <v>278</v>
      </c>
      <c r="D14" s="39" t="s">
        <v>254</v>
      </c>
      <c r="E14" s="38" t="s">
        <v>255</v>
      </c>
      <c r="F14" s="39" t="s">
        <v>90</v>
      </c>
      <c r="G14" s="38" t="s">
        <v>95</v>
      </c>
      <c r="H14" s="47" t="s">
        <v>279</v>
      </c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spans="1:26" ht="21.95" customHeight="1" x14ac:dyDescent="0.25">
      <c r="A15" s="66" t="s">
        <v>280</v>
      </c>
      <c r="B15" s="67" t="s">
        <v>281</v>
      </c>
      <c r="C15" s="43" t="s">
        <v>282</v>
      </c>
      <c r="D15" s="44" t="s">
        <v>254</v>
      </c>
      <c r="E15" s="43" t="s">
        <v>255</v>
      </c>
      <c r="F15" s="44" t="s">
        <v>90</v>
      </c>
      <c r="G15" s="43" t="s">
        <v>95</v>
      </c>
      <c r="H15" s="47" t="s">
        <v>283</v>
      </c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spans="1:26" ht="21.95" customHeight="1" x14ac:dyDescent="0.25">
      <c r="A16" s="66" t="s">
        <v>284</v>
      </c>
      <c r="B16" s="67" t="s">
        <v>285</v>
      </c>
      <c r="C16" s="38" t="s">
        <v>286</v>
      </c>
      <c r="D16" s="39" t="s">
        <v>254</v>
      </c>
      <c r="E16" s="38" t="s">
        <v>255</v>
      </c>
      <c r="F16" s="39" t="s">
        <v>90</v>
      </c>
      <c r="G16" s="38" t="s">
        <v>95</v>
      </c>
      <c r="H16" s="47" t="s">
        <v>287</v>
      </c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spans="1:26" ht="21.95" customHeight="1" x14ac:dyDescent="0.25">
      <c r="A17" s="66" t="s">
        <v>288</v>
      </c>
      <c r="B17" s="67" t="s">
        <v>289</v>
      </c>
      <c r="C17" s="43" t="s">
        <v>290</v>
      </c>
      <c r="D17" s="44" t="s">
        <v>254</v>
      </c>
      <c r="E17" s="43" t="s">
        <v>255</v>
      </c>
      <c r="F17" s="44" t="s">
        <v>90</v>
      </c>
      <c r="G17" s="43" t="s">
        <v>95</v>
      </c>
      <c r="H17" s="47" t="s">
        <v>291</v>
      </c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spans="1:26" ht="21.95" customHeight="1" x14ac:dyDescent="0.25">
      <c r="A18" s="66" t="s">
        <v>292</v>
      </c>
      <c r="B18" s="67" t="s">
        <v>293</v>
      </c>
      <c r="C18" s="38" t="s">
        <v>294</v>
      </c>
      <c r="D18" s="39" t="s">
        <v>254</v>
      </c>
      <c r="E18" s="38" t="s">
        <v>255</v>
      </c>
      <c r="F18" s="39" t="s">
        <v>90</v>
      </c>
      <c r="G18" s="38" t="s">
        <v>95</v>
      </c>
      <c r="H18" s="47" t="s">
        <v>295</v>
      </c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spans="1:26" ht="21.95" customHeight="1" x14ac:dyDescent="0.25">
      <c r="A19" s="17"/>
      <c r="B19" s="18"/>
      <c r="C19" s="2"/>
      <c r="D19" s="11"/>
      <c r="E19" s="2"/>
      <c r="F19" s="11"/>
      <c r="G19" s="2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spans="1:26" ht="21.95" customHeight="1" x14ac:dyDescent="0.25">
      <c r="A20" s="17"/>
      <c r="B20" s="18"/>
      <c r="C20" s="1"/>
      <c r="D20" s="8"/>
      <c r="E20" s="1"/>
      <c r="F20" s="8"/>
      <c r="G20" s="1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spans="1:26" ht="21.95" customHeight="1" x14ac:dyDescent="0.25">
      <c r="A21" s="17"/>
      <c r="B21" s="12"/>
      <c r="C21" s="2"/>
      <c r="D21" s="11"/>
      <c r="E21" s="2"/>
      <c r="F21" s="11"/>
      <c r="G21" s="2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spans="1:26" ht="21.95" customHeight="1" x14ac:dyDescent="0.25">
      <c r="A22" s="17"/>
      <c r="B22" s="17"/>
      <c r="C22" s="1"/>
      <c r="D22" s="8"/>
      <c r="E22" s="1"/>
      <c r="F22" s="8"/>
      <c r="G22" s="1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spans="1:26" x14ac:dyDescent="0.25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spans="1:26" x14ac:dyDescent="0.25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spans="1:26" x14ac:dyDescent="0.25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spans="1:26" x14ac:dyDescent="0.25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spans="1:26" x14ac:dyDescent="0.25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spans="1:26" x14ac:dyDescent="0.25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spans="1:26" x14ac:dyDescent="0.25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spans="1:26" x14ac:dyDescent="0.25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spans="1:26" x14ac:dyDescent="0.25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spans="1:26" x14ac:dyDescent="0.25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spans="1:26" x14ac:dyDescent="0.25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spans="1:26" x14ac:dyDescent="0.25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spans="1:26" x14ac:dyDescent="0.25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spans="1:26" x14ac:dyDescent="0.25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spans="1:26" x14ac:dyDescent="0.25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spans="1:26" x14ac:dyDescent="0.25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spans="1:26" x14ac:dyDescent="0.25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spans="1:26" x14ac:dyDescent="0.25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spans="1:26" x14ac:dyDescent="0.25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spans="1:26" x14ac:dyDescent="0.25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spans="1:26" x14ac:dyDescent="0.25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spans="1:26" x14ac:dyDescent="0.25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spans="1:26" x14ac:dyDescent="0.25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spans="1:26" x14ac:dyDescent="0.25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spans="1:26" x14ac:dyDescent="0.25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spans="1:26" x14ac:dyDescent="0.25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spans="1:26" x14ac:dyDescent="0.25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spans="1:26" x14ac:dyDescent="0.25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spans="1:26" x14ac:dyDescent="0.25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spans="1:26" x14ac:dyDescent="0.25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spans="1:26" x14ac:dyDescent="0.25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spans="1:26" x14ac:dyDescent="0.25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spans="1:26" x14ac:dyDescent="0.25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spans="1:26" x14ac:dyDescent="0.25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spans="1:26" x14ac:dyDescent="0.25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spans="1:26" x14ac:dyDescent="0.25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spans="1:26" x14ac:dyDescent="0.25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spans="1:26" x14ac:dyDescent="0.25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spans="1:26" x14ac:dyDescent="0.25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spans="1:26" x14ac:dyDescent="0.25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spans="1:26" x14ac:dyDescent="0.25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spans="1:26" x14ac:dyDescent="0.25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spans="1:26" x14ac:dyDescent="0.25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spans="1:26" x14ac:dyDescent="0.25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spans="1:26" x14ac:dyDescent="0.25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spans="1:26" x14ac:dyDescent="0.25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spans="1:26" x14ac:dyDescent="0.25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spans="1:26" x14ac:dyDescent="0.25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spans="1:26" x14ac:dyDescent="0.25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spans="1:26" x14ac:dyDescent="0.25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spans="1:26" x14ac:dyDescent="0.25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spans="1:26" x14ac:dyDescent="0.25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spans="1:26" x14ac:dyDescent="0.25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spans="1:26" x14ac:dyDescent="0.25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spans="1:26" x14ac:dyDescent="0.25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spans="1:26" x14ac:dyDescent="0.25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spans="1:26" x14ac:dyDescent="0.25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spans="1:26" x14ac:dyDescent="0.25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spans="1:26" x14ac:dyDescent="0.25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spans="1:26" x14ac:dyDescent="0.25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spans="1:26" x14ac:dyDescent="0.25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spans="1:26" x14ac:dyDescent="0.25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spans="1:26" x14ac:dyDescent="0.25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spans="1:26" x14ac:dyDescent="0.25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spans="1:26" x14ac:dyDescent="0.25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spans="1:26" x14ac:dyDescent="0.25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spans="1:26" x14ac:dyDescent="0.25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spans="1:26" x14ac:dyDescent="0.25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spans="1:26" x14ac:dyDescent="0.25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spans="1:26" x14ac:dyDescent="0.25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spans="1:26" x14ac:dyDescent="0.25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spans="1:26" x14ac:dyDescent="0.25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spans="1:26" x14ac:dyDescent="0.25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spans="1:26" x14ac:dyDescent="0.25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spans="1:26" x14ac:dyDescent="0.25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spans="1:26" x14ac:dyDescent="0.25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spans="1:26" x14ac:dyDescent="0.25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spans="1:26" x14ac:dyDescent="0.25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</sheetData>
  <mergeCells count="1">
    <mergeCell ref="A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"/>
  <sheetViews>
    <sheetView tabSelected="1" workbookViewId="0">
      <selection activeCell="A12" sqref="A12:F14"/>
    </sheetView>
  </sheetViews>
  <sheetFormatPr baseColWidth="10" defaultColWidth="9" defaultRowHeight="15" x14ac:dyDescent="0.25"/>
  <cols>
    <col min="1" max="1" width="24" customWidth="1"/>
    <col min="2" max="6" width="22" customWidth="1"/>
  </cols>
  <sheetData>
    <row r="1" spans="1:26" x14ac:dyDescent="0.25">
      <c r="A1" s="127" t="s">
        <v>296</v>
      </c>
      <c r="B1" s="127"/>
      <c r="C1" s="127"/>
      <c r="D1" s="127"/>
      <c r="E1" s="127"/>
      <c r="F1" s="127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6" x14ac:dyDescent="0.25">
      <c r="A2" s="47"/>
      <c r="B2" s="47"/>
      <c r="C2" s="47"/>
      <c r="D2" s="47"/>
      <c r="E2" s="47"/>
      <c r="F2" s="47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spans="1:26" x14ac:dyDescent="0.25">
      <c r="A3" s="47" t="s">
        <v>297</v>
      </c>
      <c r="B3" s="47" t="s">
        <v>298</v>
      </c>
      <c r="C3" s="47"/>
      <c r="D3" s="47"/>
      <c r="E3" s="47"/>
      <c r="F3" s="47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spans="1:26" ht="30" x14ac:dyDescent="0.25">
      <c r="A4" s="47" t="s">
        <v>299</v>
      </c>
      <c r="B4" s="47" t="s">
        <v>300</v>
      </c>
      <c r="C4" s="47"/>
      <c r="D4" s="47"/>
      <c r="E4" s="47"/>
      <c r="F4" s="47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spans="1:26" ht="30" x14ac:dyDescent="0.25">
      <c r="A5" s="47" t="s">
        <v>301</v>
      </c>
      <c r="B5" s="47" t="s">
        <v>302</v>
      </c>
      <c r="C5" s="47"/>
      <c r="D5" s="47"/>
      <c r="E5" s="47"/>
      <c r="F5" s="47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 spans="1:26" ht="60" x14ac:dyDescent="0.25">
      <c r="A6" s="47" t="s">
        <v>303</v>
      </c>
      <c r="B6" s="47" t="s">
        <v>304</v>
      </c>
      <c r="C6" s="47"/>
      <c r="D6" s="47"/>
      <c r="E6" s="47"/>
      <c r="F6" s="47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spans="1:26" ht="45" x14ac:dyDescent="0.25">
      <c r="A7" s="47" t="s">
        <v>305</v>
      </c>
      <c r="B7" s="47" t="s">
        <v>306</v>
      </c>
      <c r="C7" s="47"/>
      <c r="D7" s="47"/>
      <c r="E7" s="47"/>
      <c r="F7" s="47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spans="1:26" x14ac:dyDescent="0.25">
      <c r="A8" s="47" t="s">
        <v>307</v>
      </c>
      <c r="B8" s="47" t="s">
        <v>90</v>
      </c>
      <c r="C8" s="47"/>
      <c r="D8" s="47"/>
      <c r="E8" s="47"/>
      <c r="F8" s="47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spans="1:26" x14ac:dyDescent="0.25">
      <c r="A9" s="47" t="s">
        <v>249</v>
      </c>
      <c r="B9" s="47" t="s">
        <v>95</v>
      </c>
      <c r="C9" s="47"/>
      <c r="D9" s="47"/>
      <c r="E9" s="47"/>
      <c r="F9" s="47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spans="1:26" x14ac:dyDescent="0.25">
      <c r="A10" s="47"/>
      <c r="B10" s="47"/>
      <c r="C10" s="47"/>
      <c r="D10" s="47"/>
      <c r="E10" s="47"/>
      <c r="F10" s="47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spans="1:26" x14ac:dyDescent="0.25">
      <c r="A11" s="127"/>
      <c r="B11" s="127"/>
      <c r="C11" s="127"/>
      <c r="D11" s="127"/>
      <c r="E11" s="127"/>
      <c r="F11" s="127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spans="1:26" x14ac:dyDescent="0.25">
      <c r="A12" s="127"/>
      <c r="B12" s="127"/>
      <c r="C12" s="127"/>
      <c r="D12" s="127"/>
      <c r="E12" s="127"/>
      <c r="F12" s="127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spans="1:26" x14ac:dyDescent="0.25">
      <c r="A13" s="127"/>
      <c r="B13" s="127"/>
      <c r="C13" s="127"/>
      <c r="D13" s="127"/>
      <c r="E13" s="127"/>
      <c r="F13" s="127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spans="1:26" x14ac:dyDescent="0.25">
      <c r="A14" s="127"/>
      <c r="B14" s="127"/>
      <c r="C14" s="127"/>
      <c r="D14" s="127"/>
      <c r="E14" s="127"/>
      <c r="F14" s="127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spans="1:26" x14ac:dyDescent="0.25">
      <c r="A15" s="47"/>
      <c r="B15" s="47"/>
      <c r="C15" s="47"/>
      <c r="D15" s="47"/>
      <c r="E15" s="47"/>
      <c r="F15" s="47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spans="1:26" x14ac:dyDescent="0.25">
      <c r="A16" s="47" t="s">
        <v>308</v>
      </c>
      <c r="B16" s="127" t="s">
        <v>309</v>
      </c>
      <c r="C16" s="127"/>
      <c r="D16" s="127"/>
      <c r="E16" s="127"/>
      <c r="F16" s="127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spans="1:26" x14ac:dyDescent="0.25">
      <c r="A17" s="47"/>
      <c r="B17" s="47"/>
      <c r="C17" s="47"/>
      <c r="D17" s="47"/>
      <c r="E17" s="47"/>
      <c r="F17" s="47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spans="1:26" x14ac:dyDescent="0.25">
      <c r="A18" s="47"/>
      <c r="B18" s="47"/>
      <c r="C18" s="47"/>
      <c r="D18" s="47"/>
      <c r="E18" s="47"/>
      <c r="F18" s="47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spans="1:26" x14ac:dyDescent="0.25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spans="1:26" x14ac:dyDescent="0.25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spans="1:26" x14ac:dyDescent="0.25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spans="1:26" x14ac:dyDescent="0.25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spans="1:26" x14ac:dyDescent="0.25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spans="1:26" x14ac:dyDescent="0.25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spans="1:26" x14ac:dyDescent="0.25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spans="1:26" x14ac:dyDescent="0.25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spans="1:26" x14ac:dyDescent="0.25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spans="1:26" x14ac:dyDescent="0.25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spans="1:26" x14ac:dyDescent="0.25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spans="1:26" x14ac:dyDescent="0.25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spans="1:26" x14ac:dyDescent="0.25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spans="1:26" x14ac:dyDescent="0.25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spans="1:26" x14ac:dyDescent="0.25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spans="1:26" x14ac:dyDescent="0.25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spans="1:26" x14ac:dyDescent="0.25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spans="1:26" x14ac:dyDescent="0.25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spans="1:26" x14ac:dyDescent="0.25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spans="1:26" x14ac:dyDescent="0.25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spans="1:26" x14ac:dyDescent="0.25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spans="1:26" x14ac:dyDescent="0.25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spans="1:26" x14ac:dyDescent="0.25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spans="1:26" x14ac:dyDescent="0.25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spans="1:26" x14ac:dyDescent="0.25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spans="1:26" x14ac:dyDescent="0.25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spans="1:26" x14ac:dyDescent="0.25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spans="1:26" x14ac:dyDescent="0.25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spans="1:26" x14ac:dyDescent="0.25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spans="1:26" x14ac:dyDescent="0.25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spans="1:26" x14ac:dyDescent="0.25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spans="1:26" x14ac:dyDescent="0.25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spans="1:26" x14ac:dyDescent="0.25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spans="1:26" x14ac:dyDescent="0.25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spans="1:26" x14ac:dyDescent="0.25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spans="1:26" x14ac:dyDescent="0.25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spans="1:26" x14ac:dyDescent="0.25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spans="1:26" x14ac:dyDescent="0.25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spans="1:26" x14ac:dyDescent="0.25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spans="1:26" x14ac:dyDescent="0.25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spans="1:26" x14ac:dyDescent="0.25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spans="1:26" x14ac:dyDescent="0.25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spans="1:26" x14ac:dyDescent="0.25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spans="1:26" x14ac:dyDescent="0.25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spans="1:26" x14ac:dyDescent="0.25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spans="1:26" x14ac:dyDescent="0.25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spans="1:26" x14ac:dyDescent="0.25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spans="1:26" x14ac:dyDescent="0.25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spans="1:26" x14ac:dyDescent="0.25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spans="1:26" x14ac:dyDescent="0.25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spans="1:26" x14ac:dyDescent="0.25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spans="1:26" x14ac:dyDescent="0.25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spans="1:26" x14ac:dyDescent="0.25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spans="1:26" x14ac:dyDescent="0.25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spans="1:26" x14ac:dyDescent="0.25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spans="1:26" x14ac:dyDescent="0.25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spans="1:26" x14ac:dyDescent="0.25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spans="1:26" x14ac:dyDescent="0.25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spans="1:26" x14ac:dyDescent="0.25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spans="1:26" x14ac:dyDescent="0.25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spans="1:26" x14ac:dyDescent="0.25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spans="1:26" x14ac:dyDescent="0.25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spans="1:26" x14ac:dyDescent="0.25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spans="1:26" x14ac:dyDescent="0.25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spans="1:26" x14ac:dyDescent="0.25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spans="1:26" x14ac:dyDescent="0.25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spans="1:26" x14ac:dyDescent="0.25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spans="1:26" x14ac:dyDescent="0.25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spans="1:26" x14ac:dyDescent="0.25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spans="1:26" x14ac:dyDescent="0.25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spans="1:26" x14ac:dyDescent="0.25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spans="1:26" x14ac:dyDescent="0.25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spans="1:26" x14ac:dyDescent="0.25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spans="1:26" x14ac:dyDescent="0.25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spans="1:26" x14ac:dyDescent="0.25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spans="1:26" x14ac:dyDescent="0.25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spans="1:26" x14ac:dyDescent="0.25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spans="1:26" x14ac:dyDescent="0.25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spans="1:26" x14ac:dyDescent="0.25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spans="1:26" x14ac:dyDescent="0.25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spans="1:26" x14ac:dyDescent="0.25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spans="1:26" x14ac:dyDescent="0.25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</sheetData>
  <mergeCells count="4">
    <mergeCell ref="A1:F1"/>
    <mergeCell ref="A11:F11"/>
    <mergeCell ref="A12:F14"/>
    <mergeCell ref="B16:F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📖 Instrucciones</vt:lpstr>
      <vt:lpstr>📋 Matriz principal</vt:lpstr>
      <vt:lpstr>🔗 Trazabilidad visual</vt:lpstr>
      <vt:lpstr>📊 Resumen y métricas</vt:lpstr>
      <vt:lpstr>📝 Registro de RFCs</vt:lpstr>
      <vt:lpstr>🗂️ Catálogo de artefactos</vt:lpstr>
      <vt:lpstr>⚙️ Evidencia de gestión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Acevedo Rubio</dc:creator>
  <cp:lastModifiedBy>Lucas Acevedo Rubio</cp:lastModifiedBy>
  <dcterms:created xsi:type="dcterms:W3CDTF">2026-09-25T18:40:34Z</dcterms:created>
  <dcterms:modified xsi:type="dcterms:W3CDTF">2026-09-25T18:40:34Z</dcterms:modified>
</cp:coreProperties>
</file>